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TAR LINK COMPUTER\Documents\"/>
    </mc:Choice>
  </mc:AlternateContent>
  <xr:revisionPtr revIDLastSave="0" documentId="13_ncr:1_{18DBBBB9-CE0D-4EDB-B427-B89CD24004ED}" xr6:coauthVersionLast="47" xr6:coauthVersionMax="47" xr10:uidLastSave="{00000000-0000-0000-0000-000000000000}"/>
  <bookViews>
    <workbookView xWindow="-120" yWindow="-120" windowWidth="20730" windowHeight="11160" xr2:uid="{29C45A75-60B0-43A0-80C9-EC9A7BECFB50}"/>
  </bookViews>
  <sheets>
    <sheet name="Sheet1" sheetId="1" r:id="rId1"/>
  </sheets>
  <calcPr calcId="18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4" i="1" l="1"/>
  <c r="E44" i="1"/>
  <c r="F44" i="1"/>
  <c r="G44" i="1"/>
  <c r="H44" i="1"/>
  <c r="K44" i="1"/>
  <c r="D40" i="1"/>
  <c r="D41" i="1"/>
  <c r="D42" i="1"/>
  <c r="E43" i="1"/>
  <c r="F43" i="1"/>
  <c r="G43" i="1"/>
  <c r="H43" i="1"/>
  <c r="K43" i="1"/>
  <c r="D43" i="1"/>
  <c r="F42" i="1"/>
  <c r="G42" i="1"/>
  <c r="H42" i="1"/>
  <c r="K42" i="1"/>
  <c r="E42" i="1"/>
  <c r="E41" i="1"/>
  <c r="F41" i="1"/>
  <c r="G41" i="1"/>
  <c r="H41" i="1"/>
  <c r="K41" i="1"/>
  <c r="E40" i="1"/>
  <c r="F40" i="1"/>
  <c r="G40" i="1"/>
  <c r="H40" i="1"/>
  <c r="K40" i="1"/>
  <c r="L30" i="1"/>
  <c r="D27" i="1"/>
  <c r="I12" i="1"/>
  <c r="M12" i="1" s="1"/>
  <c r="I13" i="1"/>
  <c r="I14" i="1"/>
  <c r="N14" i="1" s="1"/>
  <c r="I15" i="1"/>
  <c r="I42" i="1" s="1"/>
  <c r="I16" i="1"/>
  <c r="M16" i="1" s="1"/>
  <c r="I17" i="1"/>
  <c r="N17" i="1" s="1"/>
  <c r="I18" i="1"/>
  <c r="M18" i="1" s="1"/>
  <c r="I19" i="1"/>
  <c r="N19" i="1" s="1"/>
  <c r="I20" i="1"/>
  <c r="M20" i="1" s="1"/>
  <c r="I11" i="1"/>
  <c r="L20" i="1" l="1"/>
  <c r="L16" i="1"/>
  <c r="F33" i="1"/>
  <c r="L12" i="1"/>
  <c r="J41" i="1"/>
  <c r="L15" i="1"/>
  <c r="N16" i="1"/>
  <c r="J44" i="1"/>
  <c r="N15" i="1"/>
  <c r="L19" i="1"/>
  <c r="N20" i="1"/>
  <c r="N12" i="1"/>
  <c r="M14" i="1"/>
  <c r="M11" i="1"/>
  <c r="M17" i="1"/>
  <c r="M13" i="1"/>
  <c r="J40" i="1"/>
  <c r="J43" i="1"/>
  <c r="L18" i="1"/>
  <c r="L14" i="1"/>
  <c r="L43" i="1" s="1"/>
  <c r="N18" i="1"/>
  <c r="I27" i="1"/>
  <c r="I40" i="1"/>
  <c r="I43" i="1"/>
  <c r="I44" i="1"/>
  <c r="F27" i="1"/>
  <c r="I41" i="1"/>
  <c r="L11" i="1"/>
  <c r="L17" i="1"/>
  <c r="L13" i="1"/>
  <c r="M19" i="1"/>
  <c r="M15" i="1"/>
  <c r="N11" i="1"/>
  <c r="N13" i="1"/>
  <c r="L27" i="1"/>
  <c r="J42" i="1"/>
  <c r="D30" i="1"/>
  <c r="I33" i="1" l="1"/>
  <c r="N43" i="1"/>
  <c r="N42" i="1"/>
  <c r="F30" i="1"/>
  <c r="L44" i="1"/>
  <c r="L40" i="1"/>
  <c r="M40" i="1"/>
  <c r="L42" i="1"/>
  <c r="N41" i="1"/>
  <c r="M44" i="1"/>
  <c r="N44" i="1"/>
  <c r="M43" i="1"/>
  <c r="L41" i="1"/>
  <c r="M41" i="1"/>
  <c r="N40" i="1"/>
  <c r="I30" i="1"/>
  <c r="M42" i="1"/>
</calcChain>
</file>

<file path=xl/sharedStrings.xml><?xml version="1.0" encoding="utf-8"?>
<sst xmlns="http://schemas.openxmlformats.org/spreadsheetml/2006/main" count="101" uniqueCount="66">
  <si>
    <t xml:space="preserve">ID </t>
  </si>
  <si>
    <t>EMPLOYEE NAME</t>
  </si>
  <si>
    <t>DEPARTMENT</t>
  </si>
  <si>
    <t>PRODUCT</t>
  </si>
  <si>
    <t>QUANTITY</t>
  </si>
  <si>
    <t>PRICE</t>
  </si>
  <si>
    <t xml:space="preserve">SALES </t>
  </si>
  <si>
    <t>TARGET</t>
  </si>
  <si>
    <t>COMMISSION %</t>
  </si>
  <si>
    <t>COMMISSION</t>
  </si>
  <si>
    <t>STATUS</t>
  </si>
  <si>
    <t>Zayan Ahmed</t>
  </si>
  <si>
    <t>Ayaan Shah</t>
  </si>
  <si>
    <t>Rayyan Malik</t>
  </si>
  <si>
    <t>Arham Khan</t>
  </si>
  <si>
    <t>Saad Mirza</t>
  </si>
  <si>
    <t>Hamza Raza</t>
  </si>
  <si>
    <t>Faris Ali</t>
  </si>
  <si>
    <t>Shahveer Khan</t>
  </si>
  <si>
    <t>Arman Malik</t>
  </si>
  <si>
    <t xml:space="preserve">Sales </t>
  </si>
  <si>
    <t>Marketing</t>
  </si>
  <si>
    <t>IT</t>
  </si>
  <si>
    <t>HR</t>
  </si>
  <si>
    <t>Finance</t>
  </si>
  <si>
    <t>Laptop</t>
  </si>
  <si>
    <t>Mobile</t>
  </si>
  <si>
    <t>Software</t>
  </si>
  <si>
    <t>Printer</t>
  </si>
  <si>
    <t>Tablet</t>
  </si>
  <si>
    <t>Camera</t>
  </si>
  <si>
    <t>Headphones</t>
  </si>
  <si>
    <t>Keyboard</t>
  </si>
  <si>
    <t>Monitor</t>
  </si>
  <si>
    <t>Smart Watch</t>
  </si>
  <si>
    <t>BONUS</t>
  </si>
  <si>
    <t>TOTAL EMPLOYE</t>
  </si>
  <si>
    <t>TOTAL SALES</t>
  </si>
  <si>
    <t>AVERAGE SALES</t>
  </si>
  <si>
    <t>HIGHEST SALES</t>
  </si>
  <si>
    <t>LOWEST SALES</t>
  </si>
  <si>
    <t>TOTAL COMMISSION</t>
  </si>
  <si>
    <t>TOTAL BONUS</t>
  </si>
  <si>
    <t>HIGH PERFOMANCE</t>
  </si>
  <si>
    <t>,</t>
  </si>
  <si>
    <t>TOTAL ID</t>
  </si>
  <si>
    <t>FINANCE DEPART T.SALES</t>
  </si>
  <si>
    <t>Maheer SHAH</t>
  </si>
  <si>
    <t>Row Labels</t>
  </si>
  <si>
    <t>Grand Total</t>
  </si>
  <si>
    <t xml:space="preserve">Sum of SALES </t>
  </si>
  <si>
    <t>Sum of TARGET</t>
  </si>
  <si>
    <t>Below Target</t>
  </si>
  <si>
    <t>Target Achieved</t>
  </si>
  <si>
    <t>(Multiple Items)</t>
  </si>
  <si>
    <t>Created by:Ayesha Gull 
CIT Final Project</t>
  </si>
  <si>
    <t>EMPLOYEE SALES &amp; PERFORMANCE RECORD</t>
  </si>
  <si>
    <t>EMPLOYEE SALES &amp; PERFORMANCE 
MANAGEMENT SYSTEM</t>
  </si>
  <si>
    <t>SALES PERFORMANCE CALCULATION TABLE</t>
  </si>
  <si>
    <t>EMPLOYE INFORMATION LOOKUP</t>
  </si>
  <si>
    <t>EMPLOYEE SALES &amp; 
TARGET ANALYSIS</t>
  </si>
  <si>
    <t>EMPLOYEE PERFORMANCE CHART</t>
  </si>
  <si>
    <t xml:space="preserve">Finance </t>
  </si>
  <si>
    <t xml:space="preserve">IT </t>
  </si>
  <si>
    <t>Sales</t>
  </si>
  <si>
    <t>CIT FINAL PROJECT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</si>
</sst>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36"/>
      <color theme="1"/>
      <name val="Bell MT"/>
      <family val="1"/>
    </font>
    <font>
      <b/>
      <u val="double"/>
      <sz val="28"/>
      <color theme="1"/>
      <name val="Bookman Old Style"/>
      <family val="1"/>
    </font>
    <font>
      <b/>
      <sz val="24"/>
      <color theme="0"/>
      <name val="Bell MT"/>
      <family val="1"/>
    </font>
    <font>
      <b/>
      <sz val="26"/>
      <color theme="0"/>
      <name val="Bell MT"/>
      <family val="1"/>
    </font>
    <font>
      <sz val="26"/>
      <color theme="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4"/>
      <color rgb="FFFFFFFF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24"/>
      <color theme="1"/>
      <name val="Arial Black"/>
      <family val="2"/>
    </font>
    <font>
      <b/>
      <i/>
      <sz val="36"/>
      <color theme="1"/>
      <name val="Algerian"/>
      <family val="5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/>
      <top style="double">
        <color theme="0"/>
      </top>
      <bottom/>
      <diagonal/>
    </border>
    <border>
      <left style="double">
        <color theme="0"/>
      </left>
      <right/>
      <top/>
      <bottom/>
      <diagonal/>
    </border>
    <border>
      <left style="double">
        <color theme="0"/>
      </left>
      <right/>
      <top/>
      <bottom style="double">
        <color theme="0"/>
      </bottom>
      <diagonal/>
    </border>
    <border>
      <left style="double">
        <color theme="0" tint="-0.34998626667073579"/>
      </left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/>
      <diagonal/>
    </border>
    <border>
      <left/>
      <right style="double">
        <color theme="0" tint="-0.34998626667073579"/>
      </right>
      <top style="double">
        <color theme="0" tint="-0.34998626667073579"/>
      </top>
      <bottom/>
      <diagonal/>
    </border>
    <border>
      <left style="double">
        <color theme="0" tint="-0.34998626667073579"/>
      </left>
      <right/>
      <top/>
      <bottom/>
      <diagonal/>
    </border>
    <border>
      <left/>
      <right style="double">
        <color theme="0" tint="-0.34998626667073579"/>
      </right>
      <top/>
      <bottom/>
      <diagonal/>
    </border>
    <border>
      <left style="double">
        <color theme="0" tint="-0.34998626667073579"/>
      </left>
      <right/>
      <top/>
      <bottom style="double">
        <color theme="0" tint="-0.34998626667073579"/>
      </bottom>
      <diagonal/>
    </border>
    <border>
      <left/>
      <right/>
      <top/>
      <bottom style="double">
        <color theme="0" tint="-0.34998626667073579"/>
      </bottom>
      <diagonal/>
    </border>
    <border>
      <left/>
      <right style="double">
        <color theme="0" tint="-0.34998626667073579"/>
      </right>
      <top/>
      <bottom style="double">
        <color theme="0" tint="-0.34998626667073579"/>
      </bottom>
      <diagonal/>
    </border>
    <border>
      <left style="double">
        <color theme="0" tint="-0.34998626667073579"/>
      </left>
      <right style="thin">
        <color indexed="64"/>
      </right>
      <top style="thin">
        <color indexed="64"/>
      </top>
      <bottom style="double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theme="0" tint="-0.34998626667073579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theme="0" tint="-0.34998626667073579"/>
      </left>
      <right style="thin">
        <color indexed="64"/>
      </right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indexed="64"/>
      </left>
      <right style="thin">
        <color indexed="64"/>
      </right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indexed="64"/>
      </left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indexed="64"/>
      </left>
      <right/>
      <top style="double">
        <color theme="0" tint="-0.34998626667073579"/>
      </top>
      <bottom style="double">
        <color theme="0" tint="-0.34998626667073579"/>
      </bottom>
      <diagonal/>
    </border>
    <border>
      <left/>
      <right style="thin">
        <color indexed="64"/>
      </right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indexed="64"/>
      </left>
      <right style="double">
        <color theme="0" tint="-0.34998626667073579"/>
      </right>
      <top style="double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double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theme="0" tint="-0.34998626667073579"/>
      </right>
      <top style="thin">
        <color indexed="64"/>
      </top>
      <bottom style="double">
        <color theme="0" tint="-0.34998626667073579"/>
      </bottom>
      <diagonal/>
    </border>
    <border>
      <left style="thin">
        <color indexed="64"/>
      </left>
      <right style="double">
        <color theme="0" tint="-0.34998626667073579"/>
      </right>
      <top/>
      <bottom style="thin">
        <color indexed="6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double">
        <color theme="0"/>
      </left>
      <right style="double">
        <color theme="0"/>
      </right>
      <top/>
      <bottom style="double">
        <color theme="0"/>
      </bottom>
      <diagonal/>
    </border>
    <border>
      <left/>
      <right/>
      <top/>
      <bottom style="medium">
        <color theme="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6" xfId="0" applyBorder="1"/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0" fillId="0" borderId="21" xfId="0" applyBorder="1"/>
    <xf numFmtId="0" fontId="1" fillId="0" borderId="39" xfId="0" applyFont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4" borderId="43" xfId="0" applyFont="1" applyFill="1" applyBorder="1" applyAlignment="1">
      <alignment horizontal="left" vertical="top" wrapText="1"/>
    </xf>
    <xf numFmtId="0" fontId="12" fillId="4" borderId="44" xfId="0" applyFont="1" applyFill="1" applyBorder="1" applyAlignment="1">
      <alignment horizontal="left" vertical="top"/>
    </xf>
    <xf numFmtId="0" fontId="12" fillId="4" borderId="45" xfId="0" applyFont="1" applyFill="1" applyBorder="1" applyAlignment="1">
      <alignment horizontal="left" vertical="top"/>
    </xf>
    <xf numFmtId="0" fontId="12" fillId="4" borderId="46" xfId="0" applyFont="1" applyFill="1" applyBorder="1" applyAlignment="1">
      <alignment horizontal="left" vertical="top"/>
    </xf>
    <xf numFmtId="0" fontId="12" fillId="4" borderId="0" xfId="0" applyFont="1" applyFill="1" applyAlignment="1">
      <alignment horizontal="left" vertical="top"/>
    </xf>
    <xf numFmtId="0" fontId="12" fillId="4" borderId="47" xfId="0" applyFont="1" applyFill="1" applyBorder="1" applyAlignment="1">
      <alignment horizontal="left" vertical="top"/>
    </xf>
    <xf numFmtId="0" fontId="12" fillId="4" borderId="48" xfId="0" applyFont="1" applyFill="1" applyBorder="1" applyAlignment="1">
      <alignment horizontal="left" vertical="top"/>
    </xf>
    <xf numFmtId="0" fontId="12" fillId="4" borderId="49" xfId="0" applyFont="1" applyFill="1" applyBorder="1" applyAlignment="1">
      <alignment horizontal="left" vertical="top"/>
    </xf>
    <xf numFmtId="0" fontId="12" fillId="4" borderId="50" xfId="0" applyFont="1" applyFill="1" applyBorder="1" applyAlignment="1">
      <alignment horizontal="left" vertical="top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6" xfId="0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4" fillId="3" borderId="17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0" fontId="0" fillId="0" borderId="51" xfId="0" applyBorder="1"/>
    <xf numFmtId="0" fontId="3" fillId="5" borderId="17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/>
    </xf>
    <xf numFmtId="0" fontId="13" fillId="4" borderId="52" xfId="0" applyFont="1" applyFill="1" applyBorder="1" applyAlignment="1">
      <alignment horizontal="center" vertical="center"/>
    </xf>
  </cellXfs>
  <cellStyles count="1">
    <cellStyle name="Normal" xfId="0" builtinId="0"/>
  </cellStyles>
  <dxfs count="89">
    <dxf>
      <font>
        <color rgb="FF9C0006"/>
      </font>
    </dxf>
    <dxf>
      <font>
        <color theme="0" tint="-0.14996795556505021"/>
      </font>
      <fill>
        <patternFill patternType="none">
          <bgColor auto="1"/>
        </patternFill>
      </fill>
    </dxf>
    <dxf>
      <font>
        <color theme="0" tint="-0.499984740745262"/>
      </font>
    </dxf>
    <dxf>
      <font>
        <color rgb="FF006100"/>
      </font>
      <fill>
        <patternFill>
          <bgColor rgb="FFC6EFCE"/>
        </patternFill>
      </fill>
    </dxf>
    <dxf>
      <font>
        <color rgb="FFCC0099"/>
      </font>
    </dxf>
    <dxf>
      <font>
        <color rgb="FFCC0099"/>
      </font>
      <fill>
        <patternFill>
          <bgColor theme="2" tint="-9.9948118533890809E-2"/>
        </patternFill>
      </fill>
    </dxf>
    <dxf>
      <fill>
        <patternFill>
          <bgColor theme="0"/>
        </patternFill>
      </fill>
    </dxf>
    <dxf>
      <font>
        <color theme="5"/>
      </font>
      <fill>
        <patternFill>
          <bgColor theme="0"/>
        </patternFill>
      </fill>
    </dxf>
    <dxf>
      <font>
        <color rgb="FF9C0006"/>
      </font>
    </dxf>
    <dxf>
      <font>
        <color theme="0" tint="-0.24994659260841701"/>
      </font>
      <fill>
        <patternFill patternType="none">
          <bgColor auto="1"/>
        </patternFill>
      </fill>
    </dxf>
    <dxf>
      <font>
        <color theme="0" tint="-0.24994659260841701"/>
      </font>
      <fill>
        <patternFill patternType="none">
          <bgColor auto="1"/>
        </patternFill>
      </fill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ont>
        <sz val="14"/>
      </font>
    </dxf>
    <dxf>
      <font>
        <sz val="1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 style="double">
          <color theme="0" tint="-0.34998626667073579"/>
        </left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  <dxf>
      <border>
        <left style="double">
          <color theme="0" tint="-0.34998626667073579"/>
        </left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  <dxf>
      <border>
        <left style="double">
          <color theme="0" tint="-0.34998626667073579"/>
        </left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  <dxf>
      <border>
        <left style="double">
          <color theme="0" tint="-0.34998626667073579"/>
        </left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  <dxf>
      <border>
        <left style="double">
          <color theme="0" tint="-0.34998626667073579"/>
        </left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  <dxf>
      <border>
        <left style="double">
          <color theme="0" tint="-0.34998626667073579"/>
        </left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  <dxf>
      <border>
        <left style="double">
          <color theme="0" tint="-0.34998626667073579"/>
        </left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  <dxf>
      <border>
        <left style="double">
          <color theme="0" tint="-0.34998626667073579"/>
        </left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  <dxf>
      <border>
        <left style="double">
          <color theme="0" tint="-0.34998626667073579"/>
        </left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  <dxf>
      <border>
        <left style="double">
          <color theme="0" tint="-0.34998626667073579"/>
        </left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  <dxf>
      <border>
        <left style="double">
          <color theme="0" tint="-0.34998626667073579"/>
        </left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  <dxf>
      <border>
        <left style="double">
          <color theme="0" tint="-0.34998626667073579"/>
        </left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  <dxf>
      <border>
        <left style="double">
          <color theme="0" tint="-0.34998626667073579"/>
        </left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  <dxf>
      <border>
        <left style="double">
          <color theme="0" tint="-0.34998626667073579"/>
        </left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</dxfs>
  <tableStyles count="0" defaultTableStyle="TableStyleMedium2" defaultPivotStyle="PivotStyleLight16"/>
  <colors>
    <mruColors>
      <color rgb="FF993366"/>
      <color rgb="FFFFFFFF"/>
      <color rgb="FFCC0099"/>
      <color rgb="FFCC3399"/>
      <color rgb="FF006600"/>
      <color rgb="FF339933"/>
      <color rgb="FF33CC33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[CIT Final Project.AG.xlsx]Sheet1!PivotTable1</c:name>
    <c:fmtId val="2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Sheet1!$C$52</c:f>
              <c:strCache>
                <c:ptCount val="1"/>
                <c:pt idx="0">
                  <c:v>Sum of 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Sheet1!$B$53:$B$65</c:f>
              <c:multiLvlStrCache>
                <c:ptCount val="4"/>
                <c:lvl>
                  <c:pt idx="0">
                    <c:v>Below Target</c:v>
                  </c:pt>
                  <c:pt idx="1">
                    <c:v>Target Achieved</c:v>
                  </c:pt>
                  <c:pt idx="2">
                    <c:v>Target Achieved</c:v>
                  </c:pt>
                  <c:pt idx="3">
                    <c:v>Target Achieved</c:v>
                  </c:pt>
                </c:lvl>
                <c:lvl>
                  <c:pt idx="0">
                    <c:v>Hamza Raza</c:v>
                  </c:pt>
                  <c:pt idx="1">
                    <c:v>Zayan Ahmed</c:v>
                  </c:pt>
                  <c:pt idx="2">
                    <c:v>Arman Malik</c:v>
                  </c:pt>
                  <c:pt idx="3">
                    <c:v>Saad Mirza</c:v>
                  </c:pt>
                </c:lvl>
                <c:lvl>
                  <c:pt idx="0">
                    <c:v>Camera</c:v>
                  </c:pt>
                  <c:pt idx="1">
                    <c:v>Laptop</c:v>
                  </c:pt>
                  <c:pt idx="2">
                    <c:v>Smart Watch</c:v>
                  </c:pt>
                  <c:pt idx="3">
                    <c:v>Tablet</c:v>
                  </c:pt>
                </c:lvl>
              </c:multiLvlStrCache>
            </c:multiLvlStrRef>
          </c:cat>
          <c:val>
            <c:numRef>
              <c:f>Sheet1!$C$53:$C$65</c:f>
              <c:numCache>
                <c:formatCode>General</c:formatCode>
                <c:ptCount val="4"/>
                <c:pt idx="0">
                  <c:v>55000</c:v>
                </c:pt>
                <c:pt idx="1">
                  <c:v>85000</c:v>
                </c:pt>
                <c:pt idx="2">
                  <c:v>88000</c:v>
                </c:pt>
                <c:pt idx="3">
                  <c:v>78000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E-4E27-8747-36475AE2394D}"/>
            </c:ext>
          </c:extLst>
        </c:ser>
        <c:ser>
          <c:idx val="1"/>
          <c:order val="1"/>
          <c:tx>
            <c:strRef>
              <c:f>Sheet1!$D$52</c:f>
              <c:strCache>
                <c:ptCount val="1"/>
                <c:pt idx="0">
                  <c:v>Sum of 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Sheet1!$B$53:$B$65</c:f>
              <c:multiLvlStrCache>
                <c:ptCount val="4"/>
                <c:lvl>
                  <c:pt idx="0">
                    <c:v>Below Target</c:v>
                  </c:pt>
                  <c:pt idx="1">
                    <c:v>Target Achieved</c:v>
                  </c:pt>
                  <c:pt idx="2">
                    <c:v>Target Achieved</c:v>
                  </c:pt>
                  <c:pt idx="3">
                    <c:v>Target Achieved</c:v>
                  </c:pt>
                </c:lvl>
                <c:lvl>
                  <c:pt idx="0">
                    <c:v>Hamza Raza</c:v>
                  </c:pt>
                  <c:pt idx="1">
                    <c:v>Zayan Ahmed</c:v>
                  </c:pt>
                  <c:pt idx="2">
                    <c:v>Arman Malik</c:v>
                  </c:pt>
                  <c:pt idx="3">
                    <c:v>Saad Mirza</c:v>
                  </c:pt>
                </c:lvl>
                <c:lvl>
                  <c:pt idx="0">
                    <c:v>Camera</c:v>
                  </c:pt>
                  <c:pt idx="1">
                    <c:v>Laptop</c:v>
                  </c:pt>
                  <c:pt idx="2">
                    <c:v>Smart Watch</c:v>
                  </c:pt>
                  <c:pt idx="3">
                    <c:v>Tablet</c:v>
                  </c:pt>
                </c:lvl>
              </c:multiLvlStrCache>
            </c:multiLvlStrRef>
          </c:cat>
          <c:val>
            <c:numRef>
              <c:f>Sheet1!$D$53:$D$65</c:f>
              <c:numCache>
                <c:formatCode>General</c:formatCode>
                <c:ptCount val="4"/>
                <c:pt idx="0">
                  <c:v>65000</c:v>
                </c:pt>
                <c:pt idx="1">
                  <c:v>70000</c:v>
                </c:pt>
                <c:pt idx="2">
                  <c:v>85000</c:v>
                </c:pt>
                <c:pt idx="3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1E-4E27-8747-36475AE239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16201560"/>
        <c:axId val="521510800"/>
      </c:barChart>
      <c:catAx>
        <c:axId val="516201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10800"/>
        <c:crosses val="autoZero"/>
        <c:auto val="1"/>
        <c:lblAlgn val="ctr"/>
        <c:lblOffset val="100"/>
        <c:noMultiLvlLbl val="0"/>
      </c:catAx>
      <c:valAx>
        <c:axId val="5215108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201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1369217</xdr:colOff>
      <xdr:row>48</xdr:row>
      <xdr:rowOff>190499</xdr:rowOff>
    </xdr:from>
    <xdr:to>
      <xdr:col>14</xdr:col>
      <xdr:colOff>226219</xdr:colOff>
      <xdr:row>65</xdr:row>
      <xdr:rowOff>8333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CCAAD1-ECE4-E48B-AAAF-50F942AC6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AR LINK COMPUTER" refreshedDate="46189.076153587965" createdVersion="8" refreshedVersion="8" minRefreshableVersion="3" recordCount="10" xr:uid="{51527E92-DD77-4149-A017-696B6237AB37}">
  <cacheSource type="worksheet">
    <worksheetSource ref="C10:N20" sheet="Sheet1"/>
  </cacheSource>
  <cacheFields count="12">
    <cacheField name="ID " numFmtId="0">
      <sharedItems containsSemiMixedTypes="0" containsString="0" containsNumber="1" containsInteger="1" minValue="101" maxValue="110"/>
    </cacheField>
    <cacheField name="EMPLOYEE NAME" numFmtId="0">
      <sharedItems count="10">
        <s v="Zayan Ahmed"/>
        <s v="Ayaan Shah"/>
        <s v="Rayyan Malik"/>
        <s v="Arham Khan"/>
        <s v="Saad Mirza"/>
        <s v="Hamza Raza"/>
        <s v="Faris Ali"/>
        <s v="Maheer SHAH"/>
        <s v="Shahveer Khan"/>
        <s v="Arman Malik"/>
      </sharedItems>
    </cacheField>
    <cacheField name="DEPARTMENT" numFmtId="0">
      <sharedItems count="5">
        <s v="Finance"/>
        <s v="Marketing"/>
        <s v="IT"/>
        <s v="HR"/>
        <s v="Sales "/>
      </sharedItems>
    </cacheField>
    <cacheField name="PRODUCT" numFmtId="0">
      <sharedItems count="10">
        <s v="Laptop"/>
        <s v="Mobile"/>
        <s v="Software"/>
        <s v="Printer"/>
        <s v="Tablet"/>
        <s v="Camera"/>
        <s v="Headphones"/>
        <s v="Keyboard"/>
        <s v="Monitor"/>
        <s v="Smart Watch"/>
      </sharedItems>
    </cacheField>
    <cacheField name="QUANTITY" numFmtId="0">
      <sharedItems containsSemiMixedTypes="0" containsString="0" containsNumber="1" containsInteger="1" minValue="3" maxValue="10"/>
    </cacheField>
    <cacheField name="PRICE" numFmtId="0">
      <sharedItems containsSemiMixedTypes="0" containsString="0" containsNumber="1" containsInteger="1" minValue="8000" maxValue="21667"/>
    </cacheField>
    <cacheField name="SALES " numFmtId="0">
      <sharedItems containsSemiMixedTypes="0" containsString="0" containsNumber="1" containsInteger="1" minValue="45000" maxValue="95000"/>
    </cacheField>
    <cacheField name="TARGET" numFmtId="0">
      <sharedItems containsSemiMixedTypes="0" containsString="0" containsNumber="1" containsInteger="1" minValue="55000" maxValue="90000"/>
    </cacheField>
    <cacheField name="COMMISSION %" numFmtId="0">
      <sharedItems containsSemiMixedTypes="0" containsString="0" containsNumber="1" minValue="0.03" maxValue="0.06"/>
    </cacheField>
    <cacheField name="COMMISSION" numFmtId="0">
      <sharedItems containsSemiMixedTypes="0" containsString="0" containsNumber="1" minValue="1350" maxValue="5700"/>
    </cacheField>
    <cacheField name="BONUS" numFmtId="0">
      <sharedItems count="2">
        <s v="2000"/>
        <s v="0"/>
      </sharedItems>
    </cacheField>
    <cacheField name="STATUS" numFmtId="0">
      <sharedItems count="2">
        <s v="Target Achieved"/>
        <s v="Below Targ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"/>
    <x v="0"/>
    <x v="0"/>
    <x v="0"/>
    <n v="5"/>
    <n v="17000"/>
    <n v="85000"/>
    <n v="70000"/>
    <n v="0.05"/>
    <n v="4250"/>
    <x v="0"/>
    <x v="0"/>
  </r>
  <r>
    <n v="102"/>
    <x v="1"/>
    <x v="1"/>
    <x v="1"/>
    <n v="3"/>
    <n v="21667"/>
    <n v="65001"/>
    <n v="75000"/>
    <n v="0.04"/>
    <n v="2600.04"/>
    <x v="1"/>
    <x v="1"/>
  </r>
  <r>
    <n v="103"/>
    <x v="2"/>
    <x v="2"/>
    <x v="2"/>
    <n v="10"/>
    <n v="9500"/>
    <n v="95000"/>
    <n v="90000"/>
    <n v="0.06"/>
    <n v="5700"/>
    <x v="0"/>
    <x v="0"/>
  </r>
  <r>
    <n v="104"/>
    <x v="3"/>
    <x v="3"/>
    <x v="3"/>
    <n v="3"/>
    <n v="15000"/>
    <n v="45000"/>
    <n v="60000"/>
    <n v="0.03"/>
    <n v="1350"/>
    <x v="1"/>
    <x v="1"/>
  </r>
  <r>
    <n v="105"/>
    <x v="4"/>
    <x v="4"/>
    <x v="4"/>
    <n v="6"/>
    <n v="13000"/>
    <n v="78000"/>
    <n v="70000"/>
    <n v="0.05"/>
    <n v="3900"/>
    <x v="0"/>
    <x v="0"/>
  </r>
  <r>
    <n v="106"/>
    <x v="5"/>
    <x v="0"/>
    <x v="5"/>
    <n v="5"/>
    <n v="11000"/>
    <n v="55000"/>
    <n v="65000"/>
    <n v="0.04"/>
    <n v="2200"/>
    <x v="1"/>
    <x v="1"/>
  </r>
  <r>
    <n v="107"/>
    <x v="6"/>
    <x v="3"/>
    <x v="6"/>
    <n v="8"/>
    <n v="11500"/>
    <n v="92000"/>
    <n v="80000"/>
    <n v="0.06"/>
    <n v="5520"/>
    <x v="0"/>
    <x v="0"/>
  </r>
  <r>
    <n v="108"/>
    <x v="7"/>
    <x v="2"/>
    <x v="7"/>
    <n v="6"/>
    <n v="8000"/>
    <n v="48000"/>
    <n v="55000"/>
    <n v="0.03"/>
    <n v="1440"/>
    <x v="1"/>
    <x v="1"/>
  </r>
  <r>
    <n v="109"/>
    <x v="8"/>
    <x v="1"/>
    <x v="8"/>
    <n v="4"/>
    <n v="18000"/>
    <n v="72000"/>
    <n v="70000"/>
    <n v="0.05"/>
    <n v="3600"/>
    <x v="0"/>
    <x v="0"/>
  </r>
  <r>
    <n v="110"/>
    <x v="9"/>
    <x v="4"/>
    <x v="9"/>
    <n v="8"/>
    <n v="11000"/>
    <n v="88000"/>
    <n v="85000"/>
    <n v="0.05"/>
    <n v="440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6B3C0D-6DEB-447D-A46C-B3D67E3416E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B52:D65" firstHeaderRow="0" firstDataRow="1" firstDataCol="1" rowPageCount="1" colPageCount="1"/>
  <pivotFields count="12">
    <pivotField showAll="0"/>
    <pivotField axis="axisRow" showAll="0" sortType="ascending">
      <items count="11">
        <item x="3"/>
        <item x="9"/>
        <item x="1"/>
        <item x="6"/>
        <item x="5"/>
        <item x="7"/>
        <item x="2"/>
        <item x="4"/>
        <item x="8"/>
        <item x="0"/>
        <item t="default"/>
      </items>
    </pivotField>
    <pivotField axis="axisPage" multipleItemSelectionAllowed="1" showAll="0">
      <items count="6">
        <item x="0"/>
        <item h="1" x="3"/>
        <item h="1" x="2"/>
        <item h="1" x="1"/>
        <item x="4"/>
        <item t="default"/>
      </items>
    </pivotField>
    <pivotField axis="axisRow" showAll="0">
      <items count="11">
        <item x="5"/>
        <item x="6"/>
        <item x="7"/>
        <item x="0"/>
        <item x="1"/>
        <item x="8"/>
        <item x="3"/>
        <item x="9"/>
        <item x="2"/>
        <item x="4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</pivotFields>
  <rowFields count="3">
    <field x="3"/>
    <field x="1"/>
    <field x="11"/>
  </rowFields>
  <rowItems count="13">
    <i>
      <x/>
    </i>
    <i r="1">
      <x v="4"/>
    </i>
    <i r="2">
      <x/>
    </i>
    <i>
      <x v="3"/>
    </i>
    <i r="1">
      <x v="9"/>
    </i>
    <i r="2">
      <x v="1"/>
    </i>
    <i>
      <x v="7"/>
    </i>
    <i r="1">
      <x v="1"/>
    </i>
    <i r="2">
      <x v="1"/>
    </i>
    <i>
      <x v="9"/>
    </i>
    <i r="1">
      <x v="7"/>
    </i>
    <i r="2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SALES " fld="6" baseField="0" baseItem="0"/>
    <dataField name="Sum of TARGET" fld="7" baseField="0" baseItem="0"/>
  </dataFields>
  <formats count="78"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3" type="button" dataOnly="0" labelOnly="1" outline="0" axis="axisRow" fieldPosition="0"/>
    </format>
    <format dxfId="85">
      <pivotArea dataOnly="0" labelOnly="1" fieldPosition="0">
        <references count="1">
          <reference field="3" count="4">
            <x v="0"/>
            <x v="3"/>
            <x v="7"/>
            <x v="9"/>
          </reference>
        </references>
      </pivotArea>
    </format>
    <format dxfId="84">
      <pivotArea dataOnly="0" labelOnly="1" grandRow="1" outline="0" fieldPosition="0"/>
    </format>
    <format dxfId="83">
      <pivotArea dataOnly="0" labelOnly="1" fieldPosition="0">
        <references count="2">
          <reference field="1" count="1">
            <x v="4"/>
          </reference>
          <reference field="3" count="1" selected="0">
            <x v="0"/>
          </reference>
        </references>
      </pivotArea>
    </format>
    <format dxfId="82">
      <pivotArea dataOnly="0" labelOnly="1" fieldPosition="0">
        <references count="2">
          <reference field="1" count="1">
            <x v="9"/>
          </reference>
          <reference field="3" count="1" selected="0">
            <x v="3"/>
          </reference>
        </references>
      </pivotArea>
    </format>
    <format dxfId="81">
      <pivotArea dataOnly="0" labelOnly="1" fieldPosition="0">
        <references count="2">
          <reference field="1" count="1">
            <x v="1"/>
          </reference>
          <reference field="3" count="1" selected="0">
            <x v="7"/>
          </reference>
        </references>
      </pivotArea>
    </format>
    <format dxfId="80">
      <pivotArea dataOnly="0" labelOnly="1" fieldPosition="0">
        <references count="2">
          <reference field="1" count="1">
            <x v="7"/>
          </reference>
          <reference field="3" count="1" selected="0">
            <x v="9"/>
          </reference>
        </references>
      </pivotArea>
    </format>
    <format dxfId="79">
      <pivotArea dataOnly="0" labelOnly="1" fieldPosition="0">
        <references count="3">
          <reference field="1" count="1" selected="0">
            <x v="4"/>
          </reference>
          <reference field="3" count="1" selected="0">
            <x v="0"/>
          </reference>
          <reference field="11" count="1">
            <x v="0"/>
          </reference>
        </references>
      </pivotArea>
    </format>
    <format dxfId="78">
      <pivotArea dataOnly="0" labelOnly="1" fieldPosition="0">
        <references count="3">
          <reference field="1" count="1" selected="0">
            <x v="9"/>
          </reference>
          <reference field="3" count="1" selected="0">
            <x v="3"/>
          </reference>
          <reference field="11" count="1">
            <x v="1"/>
          </reference>
        </references>
      </pivotArea>
    </format>
    <format dxfId="77">
      <pivotArea dataOnly="0" labelOnly="1" fieldPosition="0">
        <references count="3">
          <reference field="1" count="1" selected="0">
            <x v="1"/>
          </reference>
          <reference field="3" count="1" selected="0">
            <x v="7"/>
          </reference>
          <reference field="11" count="1">
            <x v="1"/>
          </reference>
        </references>
      </pivotArea>
    </format>
    <format dxfId="76">
      <pivotArea dataOnly="0" labelOnly="1" fieldPosition="0">
        <references count="3">
          <reference field="1" count="1" selected="0">
            <x v="7"/>
          </reference>
          <reference field="3" count="1" selected="0">
            <x v="9"/>
          </reference>
          <reference field="11" count="1">
            <x v="1"/>
          </reference>
        </references>
      </pivotArea>
    </format>
    <format dxfId="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">
      <pivotArea field="3" type="button" dataOnly="0" labelOnly="1" outline="0" axis="axisRow" fieldPosition="0"/>
    </format>
    <format dxfId="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2">
      <pivotArea field="3" type="button" dataOnly="0" labelOnly="1" outline="0" axis="axisRow" fieldPosition="0"/>
    </format>
    <format dxfId="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0">
      <pivotArea field="3" type="button" dataOnly="0" labelOnly="1" outline="0" axis="axisRow" fieldPosition="0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">
      <pivotArea field="3" type="button" dataOnly="0" labelOnly="1" outline="0" axis="axisRow" fieldPosition="0"/>
    </format>
    <format dxfId="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6">
      <pivotArea field="3" type="button" dataOnly="0" labelOnly="1" outline="0" axis="axisRow" fieldPosition="0"/>
    </format>
    <format dxfId="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4">
      <pivotArea field="3" type="button" dataOnly="0" labelOnly="1" outline="0" axis="axisRow" fieldPosition="0"/>
    </format>
    <format dxfId="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">
      <pivotArea field="3" type="button" dataOnly="0" labelOnly="1" outline="0" axis="axisRow" fieldPosition="0"/>
    </format>
    <format dxfId="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0">
      <pivotArea outline="0" collapsedLevelsAreSubtotals="1" fieldPosition="0"/>
    </format>
    <format dxfId="59">
      <pivotArea dataOnly="0" labelOnly="1" fieldPosition="0">
        <references count="1">
          <reference field="3" count="4">
            <x v="0"/>
            <x v="3"/>
            <x v="7"/>
            <x v="9"/>
          </reference>
        </references>
      </pivotArea>
    </format>
    <format dxfId="58">
      <pivotArea dataOnly="0" labelOnly="1" grandRow="1" outline="0" fieldPosition="0"/>
    </format>
    <format dxfId="57">
      <pivotArea dataOnly="0" labelOnly="1" fieldPosition="0">
        <references count="2">
          <reference field="1" count="1">
            <x v="4"/>
          </reference>
          <reference field="3" count="1" selected="0">
            <x v="0"/>
          </reference>
        </references>
      </pivotArea>
    </format>
    <format dxfId="56">
      <pivotArea dataOnly="0" labelOnly="1" fieldPosition="0">
        <references count="2">
          <reference field="1" count="1">
            <x v="9"/>
          </reference>
          <reference field="3" count="1" selected="0">
            <x v="3"/>
          </reference>
        </references>
      </pivotArea>
    </format>
    <format dxfId="55">
      <pivotArea dataOnly="0" labelOnly="1" fieldPosition="0">
        <references count="2">
          <reference field="1" count="1">
            <x v="1"/>
          </reference>
          <reference field="3" count="1" selected="0">
            <x v="7"/>
          </reference>
        </references>
      </pivotArea>
    </format>
    <format dxfId="54">
      <pivotArea dataOnly="0" labelOnly="1" fieldPosition="0">
        <references count="2">
          <reference field="1" count="1">
            <x v="7"/>
          </reference>
          <reference field="3" count="1" selected="0">
            <x v="9"/>
          </reference>
        </references>
      </pivotArea>
    </format>
    <format dxfId="53">
      <pivotArea dataOnly="0" labelOnly="1" fieldPosition="0">
        <references count="3">
          <reference field="1" count="1" selected="0">
            <x v="4"/>
          </reference>
          <reference field="3" count="1" selected="0">
            <x v="0"/>
          </reference>
          <reference field="11" count="1">
            <x v="0"/>
          </reference>
        </references>
      </pivotArea>
    </format>
    <format dxfId="52">
      <pivotArea dataOnly="0" labelOnly="1" fieldPosition="0">
        <references count="3">
          <reference field="1" count="1" selected="0">
            <x v="9"/>
          </reference>
          <reference field="3" count="1" selected="0">
            <x v="3"/>
          </reference>
          <reference field="11" count="1">
            <x v="1"/>
          </reference>
        </references>
      </pivotArea>
    </format>
    <format dxfId="51">
      <pivotArea dataOnly="0" labelOnly="1" fieldPosition="0">
        <references count="3">
          <reference field="1" count="1" selected="0">
            <x v="1"/>
          </reference>
          <reference field="3" count="1" selected="0">
            <x v="7"/>
          </reference>
          <reference field="11" count="1">
            <x v="1"/>
          </reference>
        </references>
      </pivotArea>
    </format>
    <format dxfId="50">
      <pivotArea dataOnly="0" labelOnly="1" fieldPosition="0">
        <references count="3">
          <reference field="1" count="1" selected="0">
            <x v="7"/>
          </reference>
          <reference field="3" count="1" selected="0">
            <x v="9"/>
          </reference>
          <reference field="11" count="1">
            <x v="1"/>
          </reference>
        </references>
      </pivotArea>
    </format>
    <format dxfId="49">
      <pivotArea outline="0" collapsedLevelsAreSubtotals="1" fieldPosition="0"/>
    </format>
    <format dxfId="48">
      <pivotArea dataOnly="0" labelOnly="1" fieldPosition="0">
        <references count="1">
          <reference field="3" count="4">
            <x v="0"/>
            <x v="3"/>
            <x v="7"/>
            <x v="9"/>
          </reference>
        </references>
      </pivotArea>
    </format>
    <format dxfId="47">
      <pivotArea dataOnly="0" labelOnly="1" grandRow="1" outline="0" fieldPosition="0"/>
    </format>
    <format dxfId="46">
      <pivotArea dataOnly="0" labelOnly="1" fieldPosition="0">
        <references count="2">
          <reference field="1" count="1">
            <x v="4"/>
          </reference>
          <reference field="3" count="1" selected="0">
            <x v="0"/>
          </reference>
        </references>
      </pivotArea>
    </format>
    <format dxfId="45">
      <pivotArea dataOnly="0" labelOnly="1" fieldPosition="0">
        <references count="2">
          <reference field="1" count="1">
            <x v="9"/>
          </reference>
          <reference field="3" count="1" selected="0">
            <x v="3"/>
          </reference>
        </references>
      </pivotArea>
    </format>
    <format dxfId="44">
      <pivotArea dataOnly="0" labelOnly="1" fieldPosition="0">
        <references count="2">
          <reference field="1" count="1">
            <x v="1"/>
          </reference>
          <reference field="3" count="1" selected="0">
            <x v="7"/>
          </reference>
        </references>
      </pivotArea>
    </format>
    <format dxfId="43">
      <pivotArea dataOnly="0" labelOnly="1" fieldPosition="0">
        <references count="2">
          <reference field="1" count="1">
            <x v="7"/>
          </reference>
          <reference field="3" count="1" selected="0">
            <x v="9"/>
          </reference>
        </references>
      </pivotArea>
    </format>
    <format dxfId="42">
      <pivotArea dataOnly="0" labelOnly="1" fieldPosition="0">
        <references count="3">
          <reference field="1" count="1" selected="0">
            <x v="4"/>
          </reference>
          <reference field="3" count="1" selected="0">
            <x v="0"/>
          </reference>
          <reference field="11" count="1">
            <x v="0"/>
          </reference>
        </references>
      </pivotArea>
    </format>
    <format dxfId="41">
      <pivotArea dataOnly="0" labelOnly="1" fieldPosition="0">
        <references count="3">
          <reference field="1" count="1" selected="0">
            <x v="9"/>
          </reference>
          <reference field="3" count="1" selected="0">
            <x v="3"/>
          </reference>
          <reference field="11" count="1">
            <x v="1"/>
          </reference>
        </references>
      </pivotArea>
    </format>
    <format dxfId="40">
      <pivotArea dataOnly="0" labelOnly="1" fieldPosition="0">
        <references count="3">
          <reference field="1" count="1" selected="0">
            <x v="1"/>
          </reference>
          <reference field="3" count="1" selected="0">
            <x v="7"/>
          </reference>
          <reference field="11" count="1">
            <x v="1"/>
          </reference>
        </references>
      </pivotArea>
    </format>
    <format dxfId="39">
      <pivotArea dataOnly="0" labelOnly="1" fieldPosition="0">
        <references count="3">
          <reference field="1" count="1" selected="0">
            <x v="7"/>
          </reference>
          <reference field="3" count="1" selected="0">
            <x v="9"/>
          </reference>
          <reference field="11" count="1">
            <x v="1"/>
          </reference>
        </references>
      </pivotArea>
    </format>
    <format dxfId="38">
      <pivotArea outline="0" collapsedLevelsAreSubtotals="1" fieldPosition="0"/>
    </format>
    <format dxfId="37">
      <pivotArea dataOnly="0" labelOnly="1" fieldPosition="0">
        <references count="1">
          <reference field="3" count="4">
            <x v="0"/>
            <x v="3"/>
            <x v="7"/>
            <x v="9"/>
          </reference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2">
          <reference field="1" count="1">
            <x v="4"/>
          </reference>
          <reference field="3" count="1" selected="0">
            <x v="0"/>
          </reference>
        </references>
      </pivotArea>
    </format>
    <format dxfId="34">
      <pivotArea dataOnly="0" labelOnly="1" fieldPosition="0">
        <references count="2">
          <reference field="1" count="1">
            <x v="9"/>
          </reference>
          <reference field="3" count="1" selected="0">
            <x v="3"/>
          </reference>
        </references>
      </pivotArea>
    </format>
    <format dxfId="33">
      <pivotArea dataOnly="0" labelOnly="1" fieldPosition="0">
        <references count="2">
          <reference field="1" count="1">
            <x v="1"/>
          </reference>
          <reference field="3" count="1" selected="0">
            <x v="7"/>
          </reference>
        </references>
      </pivotArea>
    </format>
    <format dxfId="32">
      <pivotArea dataOnly="0" labelOnly="1" fieldPosition="0">
        <references count="2">
          <reference field="1" count="1">
            <x v="7"/>
          </reference>
          <reference field="3" count="1" selected="0">
            <x v="9"/>
          </reference>
        </references>
      </pivotArea>
    </format>
    <format dxfId="31">
      <pivotArea dataOnly="0" labelOnly="1" fieldPosition="0">
        <references count="3">
          <reference field="1" count="1" selected="0">
            <x v="4"/>
          </reference>
          <reference field="3" count="1" selected="0">
            <x v="0"/>
          </reference>
          <reference field="11" count="1">
            <x v="0"/>
          </reference>
        </references>
      </pivotArea>
    </format>
    <format dxfId="30">
      <pivotArea dataOnly="0" labelOnly="1" fieldPosition="0">
        <references count="3">
          <reference field="1" count="1" selected="0">
            <x v="9"/>
          </reference>
          <reference field="3" count="1" selected="0">
            <x v="3"/>
          </reference>
          <reference field="11" count="1">
            <x v="1"/>
          </reference>
        </references>
      </pivotArea>
    </format>
    <format dxfId="29">
      <pivotArea dataOnly="0" labelOnly="1" fieldPosition="0">
        <references count="3">
          <reference field="1" count="1" selected="0">
            <x v="1"/>
          </reference>
          <reference field="3" count="1" selected="0">
            <x v="7"/>
          </reference>
          <reference field="11" count="1">
            <x v="1"/>
          </reference>
        </references>
      </pivotArea>
    </format>
    <format dxfId="28">
      <pivotArea dataOnly="0" labelOnly="1" fieldPosition="0">
        <references count="3">
          <reference field="1" count="1" selected="0">
            <x v="7"/>
          </reference>
          <reference field="3" count="1" selected="0">
            <x v="9"/>
          </reference>
          <reference field="11" count="1">
            <x v="1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3" count="4">
            <x v="0"/>
            <x v="3"/>
            <x v="7"/>
            <x v="9"/>
          </reference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2">
          <reference field="1" count="1">
            <x v="4"/>
          </reference>
          <reference field="3" count="1" selected="0">
            <x v="0"/>
          </reference>
        </references>
      </pivotArea>
    </format>
    <format dxfId="23">
      <pivotArea dataOnly="0" labelOnly="1" fieldPosition="0">
        <references count="2">
          <reference field="1" count="1">
            <x v="9"/>
          </reference>
          <reference field="3" count="1" selected="0">
            <x v="3"/>
          </reference>
        </references>
      </pivotArea>
    </format>
    <format dxfId="22">
      <pivotArea dataOnly="0" labelOnly="1" fieldPosition="0">
        <references count="2">
          <reference field="1" count="1">
            <x v="1"/>
          </reference>
          <reference field="3" count="1" selected="0">
            <x v="7"/>
          </reference>
        </references>
      </pivotArea>
    </format>
    <format dxfId="21">
      <pivotArea dataOnly="0" labelOnly="1" fieldPosition="0">
        <references count="2">
          <reference field="1" count="1">
            <x v="7"/>
          </reference>
          <reference field="3" count="1" selected="0">
            <x v="9"/>
          </reference>
        </references>
      </pivotArea>
    </format>
    <format dxfId="20">
      <pivotArea dataOnly="0" labelOnly="1" fieldPosition="0">
        <references count="3">
          <reference field="1" count="1" selected="0">
            <x v="4"/>
          </reference>
          <reference field="3" count="1" selected="0">
            <x v="0"/>
          </reference>
          <reference field="11" count="1">
            <x v="0"/>
          </reference>
        </references>
      </pivotArea>
    </format>
    <format dxfId="19">
      <pivotArea dataOnly="0" labelOnly="1" fieldPosition="0">
        <references count="3">
          <reference field="1" count="1" selected="0">
            <x v="9"/>
          </reference>
          <reference field="3" count="1" selected="0">
            <x v="3"/>
          </reference>
          <reference field="11" count="1">
            <x v="1"/>
          </reference>
        </references>
      </pivotArea>
    </format>
    <format dxfId="18">
      <pivotArea dataOnly="0" labelOnly="1" fieldPosition="0">
        <references count="3">
          <reference field="1" count="1" selected="0">
            <x v="1"/>
          </reference>
          <reference field="3" count="1" selected="0">
            <x v="7"/>
          </reference>
          <reference field="11" count="1">
            <x v="1"/>
          </reference>
        </references>
      </pivotArea>
    </format>
    <format dxfId="17">
      <pivotArea dataOnly="0" labelOnly="1" fieldPosition="0">
        <references count="3">
          <reference field="1" count="1" selected="0">
            <x v="7"/>
          </reference>
          <reference field="3" count="1" selected="0">
            <x v="9"/>
          </reference>
          <reference field="11" count="1">
            <x v="1"/>
          </reference>
        </references>
      </pivotArea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grandRow="1" outline="0" collapsedLevelsAreSubtotals="1" fieldPosition="0"/>
    </format>
    <format dxfId="13">
      <pivotArea dataOnly="0" labelOnly="1" grandRow="1" outline="0" fieldPosition="0"/>
    </format>
    <format dxfId="12">
      <pivotArea grandRow="1" outline="0" collapsedLevelsAreSubtotals="1" fieldPosition="0"/>
    </format>
    <format dxfId="11">
      <pivotArea dataOnly="0" labelOnly="1" grandRow="1" outline="0" fieldPosition="0"/>
    </format>
  </formats>
  <chartFormats count="2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DDCD-0AEA-496D-954D-78B9F17E0291}">
  <dimension ref="A1:AA71"/>
  <sheetViews>
    <sheetView showGridLines="0" tabSelected="1" zoomScale="70" zoomScaleNormal="70" workbookViewId="0">
      <selection activeCell="M7" sqref="M7:N8"/>
    </sheetView>
  </sheetViews>
  <sheetFormatPr defaultRowHeight="15" x14ac:dyDescent="0.25"/>
  <cols>
    <col min="2" max="2" width="21.85546875" bestFit="1" customWidth="1"/>
    <col min="3" max="3" width="20.140625" bestFit="1" customWidth="1"/>
    <col min="4" max="4" width="23.140625" customWidth="1"/>
    <col min="5" max="5" width="20.5703125" bestFit="1" customWidth="1"/>
    <col min="6" max="6" width="18.140625" customWidth="1"/>
    <col min="7" max="7" width="14.140625" customWidth="1"/>
    <col min="8" max="8" width="13.7109375" bestFit="1" customWidth="1"/>
    <col min="9" max="9" width="13.42578125" bestFit="1" customWidth="1"/>
    <col min="10" max="10" width="11" bestFit="1" customWidth="1"/>
    <col min="11" max="11" width="20.42578125" customWidth="1"/>
    <col min="12" max="12" width="18" customWidth="1"/>
    <col min="13" max="13" width="12.5703125" customWidth="1"/>
    <col min="14" max="14" width="18.85546875" customWidth="1"/>
  </cols>
  <sheetData>
    <row r="1" spans="2:27" ht="57.75" customHeight="1" thickBot="1" x14ac:dyDescent="0.3">
      <c r="C1" s="83" t="s">
        <v>65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2:27" ht="3.75" customHeight="1" thickBot="1" x14ac:dyDescent="0.3"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3" spans="2:27" ht="27" customHeight="1" thickTop="1" thickBot="1" x14ac:dyDescent="0.3">
      <c r="B3" s="4"/>
      <c r="C3" s="81" t="s">
        <v>57</v>
      </c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</row>
    <row r="4" spans="2:27" ht="27" customHeight="1" thickTop="1" thickBot="1" x14ac:dyDescent="0.3">
      <c r="B4" s="5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</row>
    <row r="5" spans="2:27" ht="39.75" customHeight="1" thickTop="1" thickBot="1" x14ac:dyDescent="0.3">
      <c r="B5" s="6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</row>
    <row r="6" spans="2:27" ht="30.75" customHeight="1" thickTop="1" thickBot="1" x14ac:dyDescent="0.3"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</row>
    <row r="7" spans="2:27" ht="45" customHeight="1" thickTop="1" thickBot="1" x14ac:dyDescent="0.3">
      <c r="C7" s="74"/>
      <c r="D7" s="74"/>
      <c r="E7" s="70" t="s">
        <v>56</v>
      </c>
      <c r="F7" s="71"/>
      <c r="G7" s="71"/>
      <c r="H7" s="71"/>
      <c r="I7" s="71"/>
      <c r="J7" s="71"/>
      <c r="K7" s="71"/>
      <c r="L7" s="71"/>
      <c r="M7" s="73"/>
      <c r="N7" s="73"/>
    </row>
    <row r="8" spans="2:27" ht="24.75" customHeight="1" thickTop="1" thickBot="1" x14ac:dyDescent="0.3">
      <c r="C8" s="74"/>
      <c r="D8" s="74"/>
      <c r="E8" s="71"/>
      <c r="F8" s="71"/>
      <c r="G8" s="71"/>
      <c r="H8" s="71"/>
      <c r="I8" s="71"/>
      <c r="J8" s="71"/>
      <c r="K8" s="71"/>
      <c r="L8" s="71"/>
      <c r="M8" s="73"/>
      <c r="N8" s="73"/>
    </row>
    <row r="9" spans="2:27" ht="7.5" customHeight="1" thickTop="1" thickBot="1" x14ac:dyDescent="0.3"/>
    <row r="10" spans="2:27" ht="36.75" customHeight="1" thickTop="1" thickBot="1" x14ac:dyDescent="0.3">
      <c r="B10" s="7"/>
      <c r="C10" s="8" t="s">
        <v>0</v>
      </c>
      <c r="D10" s="18" t="s">
        <v>1</v>
      </c>
      <c r="E10" s="19" t="s">
        <v>2</v>
      </c>
      <c r="F10" s="20" t="s">
        <v>3</v>
      </c>
      <c r="G10" s="18" t="s">
        <v>4</v>
      </c>
      <c r="H10" s="21" t="s">
        <v>5</v>
      </c>
      <c r="I10" s="8" t="s">
        <v>6</v>
      </c>
      <c r="J10" s="9" t="s">
        <v>7</v>
      </c>
      <c r="K10" s="10" t="s">
        <v>8</v>
      </c>
      <c r="L10" s="8" t="s">
        <v>9</v>
      </c>
      <c r="M10" s="9" t="s">
        <v>35</v>
      </c>
      <c r="N10" s="10" t="s">
        <v>10</v>
      </c>
    </row>
    <row r="11" spans="2:27" ht="19.5" thickTop="1" x14ac:dyDescent="0.25">
      <c r="B11" s="7"/>
      <c r="C11" s="22">
        <v>101</v>
      </c>
      <c r="D11" s="23" t="s">
        <v>11</v>
      </c>
      <c r="E11" s="23" t="s">
        <v>62</v>
      </c>
      <c r="F11" s="23" t="s">
        <v>25</v>
      </c>
      <c r="G11" s="23">
        <v>5</v>
      </c>
      <c r="H11" s="23">
        <v>17000</v>
      </c>
      <c r="I11" s="24">
        <f>G11*H11</f>
        <v>85000</v>
      </c>
      <c r="J11" s="23">
        <v>70000</v>
      </c>
      <c r="K11" s="23">
        <v>0.05</v>
      </c>
      <c r="L11" s="24">
        <f>I11*K11</f>
        <v>4250</v>
      </c>
      <c r="M11" s="23" t="str">
        <f>IF(I11&gt;J11,"2000","0")</f>
        <v>2000</v>
      </c>
      <c r="N11" s="25" t="str">
        <f>IF(I11&gt;J11,"Target Achieved","Below Target")</f>
        <v>Target Achieved</v>
      </c>
    </row>
    <row r="12" spans="2:27" ht="18.75" x14ac:dyDescent="0.25">
      <c r="B12" s="7"/>
      <c r="C12" s="26">
        <v>102</v>
      </c>
      <c r="D12" s="27" t="s">
        <v>12</v>
      </c>
      <c r="E12" s="27" t="s">
        <v>21</v>
      </c>
      <c r="F12" s="27" t="s">
        <v>26</v>
      </c>
      <c r="G12" s="27">
        <v>3</v>
      </c>
      <c r="H12" s="27">
        <v>21667</v>
      </c>
      <c r="I12" s="28">
        <f>G12*H12</f>
        <v>65001</v>
      </c>
      <c r="J12" s="27">
        <v>75000</v>
      </c>
      <c r="K12" s="27">
        <v>0.04</v>
      </c>
      <c r="L12" s="29">
        <f>I12*K12</f>
        <v>2600.04</v>
      </c>
      <c r="M12" s="27" t="str">
        <f t="shared" ref="M12:M20" si="0">IF(I12&gt;J12,"2000","0")</f>
        <v>0</v>
      </c>
      <c r="N12" s="30" t="str">
        <f t="shared" ref="N12:N20" si="1">IF(I12&gt;J12,"Target Achieved","Below Target")</f>
        <v>Below Target</v>
      </c>
    </row>
    <row r="13" spans="2:27" ht="18.75" x14ac:dyDescent="0.25">
      <c r="B13" s="7"/>
      <c r="C13" s="26">
        <v>103</v>
      </c>
      <c r="D13" s="27" t="s">
        <v>13</v>
      </c>
      <c r="E13" s="27" t="s">
        <v>63</v>
      </c>
      <c r="F13" s="27" t="s">
        <v>27</v>
      </c>
      <c r="G13" s="27">
        <v>10</v>
      </c>
      <c r="H13" s="27">
        <v>9500</v>
      </c>
      <c r="I13" s="28">
        <f t="shared" ref="I13:I20" si="2">G13*H13</f>
        <v>95000</v>
      </c>
      <c r="J13" s="27">
        <v>90000</v>
      </c>
      <c r="K13" s="27">
        <v>0.06</v>
      </c>
      <c r="L13" s="28">
        <f t="shared" ref="L13:L20" si="3">I13*K13</f>
        <v>5700</v>
      </c>
      <c r="M13" s="27" t="str">
        <f t="shared" si="0"/>
        <v>2000</v>
      </c>
      <c r="N13" s="30" t="str">
        <f t="shared" si="1"/>
        <v>Target Achieved</v>
      </c>
      <c r="AA13" s="2" t="s">
        <v>24</v>
      </c>
    </row>
    <row r="14" spans="2:27" ht="18.75" x14ac:dyDescent="0.25">
      <c r="B14" s="7"/>
      <c r="C14" s="26">
        <v>104</v>
      </c>
      <c r="D14" s="27" t="s">
        <v>14</v>
      </c>
      <c r="E14" s="27" t="s">
        <v>23</v>
      </c>
      <c r="F14" s="27" t="s">
        <v>28</v>
      </c>
      <c r="G14" s="27">
        <v>3</v>
      </c>
      <c r="H14" s="27">
        <v>15000</v>
      </c>
      <c r="I14" s="28">
        <f t="shared" si="2"/>
        <v>45000</v>
      </c>
      <c r="J14" s="27">
        <v>60000</v>
      </c>
      <c r="K14" s="27">
        <v>0.03</v>
      </c>
      <c r="L14" s="28">
        <f t="shared" si="3"/>
        <v>1350</v>
      </c>
      <c r="M14" s="27" t="str">
        <f t="shared" si="0"/>
        <v>0</v>
      </c>
      <c r="N14" s="30" t="str">
        <f t="shared" si="1"/>
        <v>Below Target</v>
      </c>
      <c r="AA14" s="2" t="s">
        <v>21</v>
      </c>
    </row>
    <row r="15" spans="2:27" ht="18.75" x14ac:dyDescent="0.25">
      <c r="B15" s="7"/>
      <c r="C15" s="26">
        <v>105</v>
      </c>
      <c r="D15" s="27" t="s">
        <v>15</v>
      </c>
      <c r="E15" s="27" t="s">
        <v>20</v>
      </c>
      <c r="F15" s="27" t="s">
        <v>29</v>
      </c>
      <c r="G15" s="27">
        <v>6</v>
      </c>
      <c r="H15" s="27">
        <v>13000</v>
      </c>
      <c r="I15" s="28">
        <f t="shared" si="2"/>
        <v>78000</v>
      </c>
      <c r="J15" s="27">
        <v>70000</v>
      </c>
      <c r="K15" s="27">
        <v>0.05</v>
      </c>
      <c r="L15" s="28">
        <f t="shared" si="3"/>
        <v>3900</v>
      </c>
      <c r="M15" s="27" t="str">
        <f t="shared" si="0"/>
        <v>2000</v>
      </c>
      <c r="N15" s="30" t="str">
        <f t="shared" si="1"/>
        <v>Target Achieved</v>
      </c>
      <c r="AA15" s="2" t="s">
        <v>22</v>
      </c>
    </row>
    <row r="16" spans="2:27" ht="18.75" x14ac:dyDescent="0.25">
      <c r="B16" s="7"/>
      <c r="C16" s="26">
        <v>106</v>
      </c>
      <c r="D16" s="27" t="s">
        <v>16</v>
      </c>
      <c r="E16" s="27" t="s">
        <v>24</v>
      </c>
      <c r="F16" s="27" t="s">
        <v>30</v>
      </c>
      <c r="G16" s="27">
        <v>5</v>
      </c>
      <c r="H16" s="27">
        <v>11000</v>
      </c>
      <c r="I16" s="28">
        <f t="shared" si="2"/>
        <v>55000</v>
      </c>
      <c r="J16" s="27">
        <v>65000</v>
      </c>
      <c r="K16" s="27">
        <v>0.04</v>
      </c>
      <c r="L16" s="28">
        <f t="shared" si="3"/>
        <v>2200</v>
      </c>
      <c r="M16" s="27" t="str">
        <f t="shared" si="0"/>
        <v>0</v>
      </c>
      <c r="N16" s="30" t="str">
        <f t="shared" si="1"/>
        <v>Below Target</v>
      </c>
      <c r="AA16" s="2" t="s">
        <v>23</v>
      </c>
    </row>
    <row r="17" spans="1:27" ht="18.75" x14ac:dyDescent="0.25">
      <c r="B17" s="7"/>
      <c r="C17" s="26">
        <v>107</v>
      </c>
      <c r="D17" s="27" t="s">
        <v>17</v>
      </c>
      <c r="E17" s="27" t="s">
        <v>23</v>
      </c>
      <c r="F17" s="27" t="s">
        <v>31</v>
      </c>
      <c r="G17" s="27">
        <v>8</v>
      </c>
      <c r="H17" s="27">
        <v>11500</v>
      </c>
      <c r="I17" s="28">
        <f t="shared" si="2"/>
        <v>92000</v>
      </c>
      <c r="J17" s="27">
        <v>80000</v>
      </c>
      <c r="K17" s="27">
        <v>0.06</v>
      </c>
      <c r="L17" s="28">
        <f t="shared" si="3"/>
        <v>5520</v>
      </c>
      <c r="M17" s="27" t="str">
        <f t="shared" si="0"/>
        <v>2000</v>
      </c>
      <c r="N17" s="30" t="str">
        <f t="shared" si="1"/>
        <v>Target Achieved</v>
      </c>
      <c r="AA17" s="2" t="s">
        <v>20</v>
      </c>
    </row>
    <row r="18" spans="1:27" ht="18.75" x14ac:dyDescent="0.25">
      <c r="B18" s="7"/>
      <c r="C18" s="26">
        <v>108</v>
      </c>
      <c r="D18" s="27" t="s">
        <v>47</v>
      </c>
      <c r="E18" s="27" t="s">
        <v>22</v>
      </c>
      <c r="F18" s="27" t="s">
        <v>32</v>
      </c>
      <c r="G18" s="27">
        <v>6</v>
      </c>
      <c r="H18" s="27">
        <v>8000</v>
      </c>
      <c r="I18" s="28">
        <f t="shared" si="2"/>
        <v>48000</v>
      </c>
      <c r="J18" s="27">
        <v>55000</v>
      </c>
      <c r="K18" s="27">
        <v>0.03</v>
      </c>
      <c r="L18" s="28">
        <f t="shared" si="3"/>
        <v>1440</v>
      </c>
      <c r="M18" s="27" t="str">
        <f t="shared" si="0"/>
        <v>0</v>
      </c>
      <c r="N18" s="30" t="str">
        <f t="shared" si="1"/>
        <v>Below Target</v>
      </c>
      <c r="AA18" s="2" t="s">
        <v>24</v>
      </c>
    </row>
    <row r="19" spans="1:27" ht="18.75" x14ac:dyDescent="0.25">
      <c r="B19" s="7"/>
      <c r="C19" s="26">
        <v>109</v>
      </c>
      <c r="D19" s="27" t="s">
        <v>18</v>
      </c>
      <c r="E19" s="27" t="s">
        <v>21</v>
      </c>
      <c r="F19" s="27" t="s">
        <v>33</v>
      </c>
      <c r="G19" s="27">
        <v>4</v>
      </c>
      <c r="H19" s="27">
        <v>18000</v>
      </c>
      <c r="I19" s="28">
        <f t="shared" si="2"/>
        <v>72000</v>
      </c>
      <c r="J19" s="27">
        <v>70000</v>
      </c>
      <c r="K19" s="27">
        <v>0.05</v>
      </c>
      <c r="L19" s="28">
        <f t="shared" si="3"/>
        <v>3600</v>
      </c>
      <c r="M19" s="27" t="str">
        <f t="shared" si="0"/>
        <v>2000</v>
      </c>
      <c r="N19" s="30" t="str">
        <f t="shared" si="1"/>
        <v>Target Achieved</v>
      </c>
      <c r="AA19" s="2" t="s">
        <v>23</v>
      </c>
    </row>
    <row r="20" spans="1:27" ht="19.5" thickBot="1" x14ac:dyDescent="0.3">
      <c r="B20" s="7"/>
      <c r="C20" s="31">
        <v>110</v>
      </c>
      <c r="D20" s="32" t="s">
        <v>19</v>
      </c>
      <c r="E20" s="32" t="s">
        <v>64</v>
      </c>
      <c r="F20" s="32" t="s">
        <v>34</v>
      </c>
      <c r="G20" s="32">
        <v>8</v>
      </c>
      <c r="H20" s="32">
        <v>11000</v>
      </c>
      <c r="I20" s="33">
        <f t="shared" si="2"/>
        <v>88000</v>
      </c>
      <c r="J20" s="32">
        <v>85000</v>
      </c>
      <c r="K20" s="32">
        <v>0.05</v>
      </c>
      <c r="L20" s="33">
        <f t="shared" si="3"/>
        <v>4400</v>
      </c>
      <c r="M20" s="32" t="str">
        <f t="shared" si="0"/>
        <v>2000</v>
      </c>
      <c r="N20" s="34" t="str">
        <f t="shared" si="1"/>
        <v>Target Achieved</v>
      </c>
      <c r="AA20" s="2" t="s">
        <v>22</v>
      </c>
    </row>
    <row r="21" spans="1:27" ht="39.75" customHeight="1" thickTop="1" thickBot="1" x14ac:dyDescent="0.3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AA21" s="2" t="s">
        <v>21</v>
      </c>
    </row>
    <row r="22" spans="1:27" ht="25.5" customHeight="1" thickTop="1" thickBot="1" x14ac:dyDescent="0.3">
      <c r="C22" s="72"/>
      <c r="D22" s="72"/>
      <c r="E22" s="70" t="s">
        <v>58</v>
      </c>
      <c r="F22" s="77"/>
      <c r="G22" s="77"/>
      <c r="H22" s="77"/>
      <c r="I22" s="77"/>
      <c r="J22" s="77"/>
      <c r="K22" s="77"/>
      <c r="L22" s="77"/>
      <c r="M22" s="72"/>
      <c r="N22" s="72"/>
      <c r="AA22" s="2" t="s">
        <v>20</v>
      </c>
    </row>
    <row r="23" spans="1:27" ht="37.5" customHeight="1" thickTop="1" thickBot="1" x14ac:dyDescent="0.3">
      <c r="C23" s="72"/>
      <c r="D23" s="72"/>
      <c r="E23" s="77"/>
      <c r="F23" s="77"/>
      <c r="G23" s="77"/>
      <c r="H23" s="77"/>
      <c r="I23" s="77"/>
      <c r="J23" s="77"/>
      <c r="K23" s="77"/>
      <c r="L23" s="77"/>
      <c r="M23" s="72"/>
      <c r="N23" s="72"/>
    </row>
    <row r="24" spans="1:27" ht="9.75" customHeight="1" thickTop="1" thickBot="1" x14ac:dyDescent="0.3"/>
    <row r="25" spans="1:27" ht="16.5" thickTop="1" thickBot="1" x14ac:dyDescent="0.3">
      <c r="C25" s="50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2"/>
    </row>
    <row r="26" spans="1:27" ht="20.25" customHeight="1" thickBot="1" x14ac:dyDescent="0.3">
      <c r="C26" s="53"/>
      <c r="D26" s="14" t="s">
        <v>36</v>
      </c>
      <c r="E26" s="58"/>
      <c r="F26" s="64" t="s">
        <v>37</v>
      </c>
      <c r="G26" s="65"/>
      <c r="H26" s="58"/>
      <c r="I26" s="64" t="s">
        <v>38</v>
      </c>
      <c r="J26" s="65"/>
      <c r="K26" s="58"/>
      <c r="L26" s="62" t="s">
        <v>39</v>
      </c>
      <c r="M26" s="63"/>
      <c r="N26" s="57"/>
    </row>
    <row r="27" spans="1:27" ht="24.75" customHeight="1" thickBot="1" x14ac:dyDescent="0.3">
      <c r="C27" s="53"/>
      <c r="D27" s="16">
        <f>COUNTA(D11:D20)</f>
        <v>10</v>
      </c>
      <c r="E27" s="58"/>
      <c r="F27" s="66">
        <f>SUM(I11,I12,I13,I14,I15,I16,I17,I18,I19,I20,)</f>
        <v>723001</v>
      </c>
      <c r="G27" s="67"/>
      <c r="H27" s="58"/>
      <c r="I27" s="66">
        <f>AVERAGE(I11,I20)</f>
        <v>86500</v>
      </c>
      <c r="J27" s="67"/>
      <c r="K27" s="58"/>
      <c r="L27" s="68">
        <f>MAX(I11:I20)</f>
        <v>95000</v>
      </c>
      <c r="M27" s="69"/>
      <c r="N27" s="57"/>
    </row>
    <row r="28" spans="1:27" ht="18.75" customHeight="1" thickBot="1" x14ac:dyDescent="0.3">
      <c r="C28" s="53"/>
      <c r="D28" s="15"/>
      <c r="E28" s="58"/>
      <c r="F28" s="15"/>
      <c r="G28" s="15"/>
      <c r="H28" s="58"/>
      <c r="I28" s="15"/>
      <c r="J28" s="15"/>
      <c r="K28" s="58"/>
      <c r="L28" s="15"/>
      <c r="M28" s="15"/>
      <c r="N28" s="57"/>
    </row>
    <row r="29" spans="1:27" ht="22.5" customHeight="1" x14ac:dyDescent="0.25">
      <c r="C29" s="53"/>
      <c r="D29" s="17" t="s">
        <v>40</v>
      </c>
      <c r="E29" s="58"/>
      <c r="F29" s="62" t="s">
        <v>41</v>
      </c>
      <c r="G29" s="63"/>
      <c r="H29" s="58"/>
      <c r="I29" s="62" t="s">
        <v>42</v>
      </c>
      <c r="J29" s="63"/>
      <c r="K29" s="58"/>
      <c r="L29" s="62" t="s">
        <v>45</v>
      </c>
      <c r="M29" s="63"/>
      <c r="N29" s="57"/>
    </row>
    <row r="30" spans="1:27" ht="22.5" customHeight="1" thickBot="1" x14ac:dyDescent="0.3">
      <c r="C30" s="53"/>
      <c r="D30" s="16">
        <f>MIN(I11:I20)</f>
        <v>45000</v>
      </c>
      <c r="E30" s="58"/>
      <c r="F30" s="78">
        <f>SUM(L11:L20)</f>
        <v>34960.04</v>
      </c>
      <c r="G30" s="79"/>
      <c r="H30" s="58"/>
      <c r="I30" s="68">
        <f>SUM(M11+M13+M15+M17+M19+M20)</f>
        <v>12000</v>
      </c>
      <c r="J30" s="69"/>
      <c r="K30" s="58"/>
      <c r="L30" s="68">
        <f>COUNT(C11:C20)</f>
        <v>10</v>
      </c>
      <c r="M30" s="69"/>
      <c r="N30" s="57"/>
    </row>
    <row r="31" spans="1:27" ht="18.75" customHeight="1" thickBot="1" x14ac:dyDescent="0.3">
      <c r="C31" s="53"/>
      <c r="D31" s="59"/>
      <c r="E31" s="58"/>
      <c r="F31" s="15"/>
      <c r="G31" s="15"/>
      <c r="H31" s="58"/>
      <c r="I31" s="15" t="s">
        <v>44</v>
      </c>
      <c r="J31" s="15"/>
      <c r="K31" s="58"/>
      <c r="L31" s="59"/>
      <c r="M31" s="59"/>
      <c r="N31" s="57"/>
    </row>
    <row r="32" spans="1:27" ht="26.25" customHeight="1" thickBot="1" x14ac:dyDescent="0.3">
      <c r="C32" s="53"/>
      <c r="D32" s="58"/>
      <c r="E32" s="58"/>
      <c r="F32" s="60" t="s">
        <v>46</v>
      </c>
      <c r="G32" s="61"/>
      <c r="H32" s="58"/>
      <c r="I32" s="60" t="s">
        <v>43</v>
      </c>
      <c r="J32" s="61"/>
      <c r="K32" s="58"/>
      <c r="L32" s="58"/>
      <c r="M32" s="58"/>
      <c r="N32" s="57"/>
    </row>
    <row r="33" spans="1:14" ht="24" customHeight="1" thickBot="1" x14ac:dyDescent="0.3">
      <c r="C33" s="53"/>
      <c r="D33" s="58"/>
      <c r="E33" s="58"/>
      <c r="F33" s="48">
        <f>SUMIF(E11:E20,"FINANCE",I11:I20)</f>
        <v>55000</v>
      </c>
      <c r="G33" s="49"/>
      <c r="H33" s="58"/>
      <c r="I33" s="48">
        <f>COUNTIF(N11:N20,"TARGET ACHIEVED")</f>
        <v>6</v>
      </c>
      <c r="J33" s="49"/>
      <c r="K33" s="58"/>
      <c r="L33" s="58"/>
      <c r="M33" s="58"/>
      <c r="N33" s="57"/>
    </row>
    <row r="34" spans="1:14" ht="24" customHeight="1" thickBot="1" x14ac:dyDescent="0.3">
      <c r="C34" s="54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6"/>
    </row>
    <row r="35" spans="1:14" ht="39.75" customHeight="1" thickTop="1" thickBot="1" x14ac:dyDescent="0.3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</row>
    <row r="36" spans="1:14" ht="25.5" customHeight="1" thickTop="1" thickBot="1" x14ac:dyDescent="0.3">
      <c r="A36" s="72"/>
      <c r="B36" s="72"/>
      <c r="C36" s="72"/>
      <c r="D36" s="72"/>
      <c r="E36" s="70" t="s">
        <v>59</v>
      </c>
      <c r="F36" s="70"/>
      <c r="G36" s="70"/>
      <c r="H36" s="70"/>
      <c r="I36" s="70"/>
      <c r="J36" s="70"/>
      <c r="K36" s="70"/>
      <c r="L36" s="70"/>
      <c r="M36" s="72"/>
      <c r="N36" s="72"/>
    </row>
    <row r="37" spans="1:14" ht="41.25" customHeight="1" thickTop="1" thickBot="1" x14ac:dyDescent="0.3">
      <c r="A37" s="72"/>
      <c r="B37" s="72"/>
      <c r="C37" s="72"/>
      <c r="D37" s="72"/>
      <c r="E37" s="70"/>
      <c r="F37" s="70"/>
      <c r="G37" s="70"/>
      <c r="H37" s="70"/>
      <c r="I37" s="70"/>
      <c r="J37" s="70"/>
      <c r="K37" s="70"/>
      <c r="L37" s="70"/>
      <c r="M37" s="72"/>
      <c r="N37" s="72"/>
    </row>
    <row r="38" spans="1:14" ht="13.5" customHeight="1" thickTop="1" thickBot="1" x14ac:dyDescent="0.3">
      <c r="E38" s="3"/>
      <c r="F38" s="3"/>
      <c r="G38" s="3"/>
      <c r="H38" s="3"/>
      <c r="I38" s="3"/>
      <c r="L38" s="3"/>
      <c r="M38" s="3"/>
    </row>
    <row r="39" spans="1:14" ht="34.5" customHeight="1" thickTop="1" thickBot="1" x14ac:dyDescent="0.3">
      <c r="C39" s="11" t="s">
        <v>0</v>
      </c>
      <c r="D39" s="12" t="s">
        <v>1</v>
      </c>
      <c r="E39" s="12" t="s">
        <v>2</v>
      </c>
      <c r="F39" s="12" t="s">
        <v>3</v>
      </c>
      <c r="G39" s="12" t="s">
        <v>4</v>
      </c>
      <c r="H39" s="12" t="s">
        <v>5</v>
      </c>
      <c r="I39" s="12" t="s">
        <v>6</v>
      </c>
      <c r="J39" s="12" t="s">
        <v>7</v>
      </c>
      <c r="K39" s="12" t="s">
        <v>8</v>
      </c>
      <c r="L39" s="12" t="s">
        <v>9</v>
      </c>
      <c r="M39" s="12" t="s">
        <v>35</v>
      </c>
      <c r="N39" s="13" t="s">
        <v>10</v>
      </c>
    </row>
    <row r="40" spans="1:14" ht="26.25" customHeight="1" thickTop="1" x14ac:dyDescent="0.25">
      <c r="B40" s="7"/>
      <c r="C40" s="22">
        <v>101</v>
      </c>
      <c r="D40" s="23" t="str">
        <f>VLOOKUP(C11,C10:N20,2,FALSE)</f>
        <v>Zayan Ahmed</v>
      </c>
      <c r="E40" s="23" t="str">
        <f t="shared" ref="E40:M40" si="4">VLOOKUP(D11,D10:O20,2,FALSE)</f>
        <v xml:space="preserve">Finance </v>
      </c>
      <c r="F40" s="23" t="str">
        <f t="shared" si="4"/>
        <v>Laptop</v>
      </c>
      <c r="G40" s="23">
        <f t="shared" si="4"/>
        <v>5</v>
      </c>
      <c r="H40" s="23">
        <f t="shared" si="4"/>
        <v>17000</v>
      </c>
      <c r="I40" s="23">
        <f t="shared" si="4"/>
        <v>85000</v>
      </c>
      <c r="J40" s="23">
        <f t="shared" si="4"/>
        <v>70000</v>
      </c>
      <c r="K40" s="23">
        <f t="shared" si="4"/>
        <v>0.05</v>
      </c>
      <c r="L40" s="23">
        <f t="shared" si="4"/>
        <v>4250</v>
      </c>
      <c r="M40" s="23" t="str">
        <f t="shared" si="4"/>
        <v>2000</v>
      </c>
      <c r="N40" s="36" t="str">
        <f>VLOOKUP(M11,M10:X20,2,FALSE)</f>
        <v>Target Achieved</v>
      </c>
    </row>
    <row r="41" spans="1:14" ht="24.75" customHeight="1" x14ac:dyDescent="0.25">
      <c r="B41" s="7"/>
      <c r="C41" s="26">
        <v>103</v>
      </c>
      <c r="D41" s="27" t="str">
        <f>VLOOKUP(C13,C11:N20,2,FALSE)</f>
        <v>Rayyan Malik</v>
      </c>
      <c r="E41" s="27" t="str">
        <f t="shared" ref="E41:N41" si="5">VLOOKUP(D13,D11:O20,2,FALSE)</f>
        <v xml:space="preserve">IT </v>
      </c>
      <c r="F41" s="27" t="str">
        <f t="shared" si="5"/>
        <v>Software</v>
      </c>
      <c r="G41" s="27">
        <f t="shared" si="5"/>
        <v>10</v>
      </c>
      <c r="H41" s="27">
        <f t="shared" si="5"/>
        <v>9500</v>
      </c>
      <c r="I41" s="27">
        <f t="shared" si="5"/>
        <v>95000</v>
      </c>
      <c r="J41" s="27">
        <f t="shared" si="5"/>
        <v>90000</v>
      </c>
      <c r="K41" s="27">
        <f t="shared" si="5"/>
        <v>0.06</v>
      </c>
      <c r="L41" s="27">
        <f t="shared" si="5"/>
        <v>5700</v>
      </c>
      <c r="M41" s="27" t="str">
        <f t="shared" si="5"/>
        <v>2000</v>
      </c>
      <c r="N41" s="30" t="str">
        <f t="shared" si="5"/>
        <v>Target Achieved</v>
      </c>
    </row>
    <row r="42" spans="1:14" ht="21.75" customHeight="1" x14ac:dyDescent="0.25">
      <c r="B42" s="7"/>
      <c r="C42" s="26">
        <v>105</v>
      </c>
      <c r="D42" s="27" t="str">
        <f>VLOOKUP(C15,C10:N20,2,FALSE)</f>
        <v>Saad Mirza</v>
      </c>
      <c r="E42" s="27" t="str">
        <f>VLOOKUP(D15,D10:O20,2,FALSE)</f>
        <v xml:space="preserve">Sales </v>
      </c>
      <c r="F42" s="27" t="str">
        <f t="shared" ref="F42:N42" si="6">VLOOKUP(E15,E10:P20,2,FALSE)</f>
        <v>Tablet</v>
      </c>
      <c r="G42" s="27">
        <f t="shared" si="6"/>
        <v>6</v>
      </c>
      <c r="H42" s="27">
        <f t="shared" si="6"/>
        <v>13000</v>
      </c>
      <c r="I42" s="27">
        <f t="shared" si="6"/>
        <v>78000</v>
      </c>
      <c r="J42" s="27">
        <f t="shared" si="6"/>
        <v>70000</v>
      </c>
      <c r="K42" s="27">
        <f t="shared" si="6"/>
        <v>0.05</v>
      </c>
      <c r="L42" s="27">
        <f t="shared" si="6"/>
        <v>4250</v>
      </c>
      <c r="M42" s="27" t="str">
        <f t="shared" si="6"/>
        <v>2000</v>
      </c>
      <c r="N42" s="30" t="str">
        <f t="shared" si="6"/>
        <v>Target Achieved</v>
      </c>
    </row>
    <row r="43" spans="1:14" ht="24.75" customHeight="1" x14ac:dyDescent="0.25">
      <c r="B43" s="7"/>
      <c r="C43" s="26">
        <v>108</v>
      </c>
      <c r="D43" s="27" t="str">
        <f>VLOOKUP(C18,C10:N20,2,FALSE)</f>
        <v>Maheer SHAH</v>
      </c>
      <c r="E43" s="27" t="str">
        <f t="shared" ref="E43:N43" si="7">VLOOKUP(D18,D10:O20,2,FALSE)</f>
        <v>IT</v>
      </c>
      <c r="F43" s="27" t="str">
        <f t="shared" si="7"/>
        <v>Keyboard</v>
      </c>
      <c r="G43" s="27">
        <f t="shared" si="7"/>
        <v>6</v>
      </c>
      <c r="H43" s="27">
        <f t="shared" si="7"/>
        <v>13000</v>
      </c>
      <c r="I43" s="27">
        <f t="shared" si="7"/>
        <v>48000</v>
      </c>
      <c r="J43" s="27">
        <f t="shared" si="7"/>
        <v>55000</v>
      </c>
      <c r="K43" s="27">
        <f t="shared" si="7"/>
        <v>0.03</v>
      </c>
      <c r="L43" s="27">
        <f t="shared" si="7"/>
        <v>1350</v>
      </c>
      <c r="M43" s="27" t="str">
        <f t="shared" si="7"/>
        <v>0</v>
      </c>
      <c r="N43" s="30" t="str">
        <f t="shared" si="7"/>
        <v>Below Target</v>
      </c>
    </row>
    <row r="44" spans="1:14" ht="24.75" customHeight="1" thickBot="1" x14ac:dyDescent="0.3">
      <c r="B44" s="7"/>
      <c r="C44" s="31">
        <v>109</v>
      </c>
      <c r="D44" s="32" t="str">
        <f>VLOOKUP(C19,C10:N20:N20,2,FALSE)</f>
        <v>Shahveer Khan</v>
      </c>
      <c r="E44" s="32" t="str">
        <f t="shared" ref="E44:M44" si="8">VLOOKUP(D19,D10:O20,2,FALSE)</f>
        <v>Marketing</v>
      </c>
      <c r="F44" s="32" t="str">
        <f t="shared" si="8"/>
        <v>Mobile</v>
      </c>
      <c r="G44" s="32">
        <f t="shared" si="8"/>
        <v>4</v>
      </c>
      <c r="H44" s="32">
        <f t="shared" si="8"/>
        <v>18000</v>
      </c>
      <c r="I44" s="32">
        <f>VLOOKUP(H19,H10:S20,2,FALSE)</f>
        <v>72000</v>
      </c>
      <c r="J44" s="32">
        <f t="shared" si="8"/>
        <v>70000</v>
      </c>
      <c r="K44" s="32">
        <f t="shared" si="8"/>
        <v>0.05</v>
      </c>
      <c r="L44" s="32">
        <f>VLOOKUP(K19,K10:V20,2,FALSE)</f>
        <v>4250</v>
      </c>
      <c r="M44" s="32" t="str">
        <f t="shared" si="8"/>
        <v>2000</v>
      </c>
      <c r="N44" s="34" t="str">
        <f>VLOOKUP(M19,M10:X20,2,FALSE)</f>
        <v>Target Achieved</v>
      </c>
    </row>
    <row r="45" spans="1:14" ht="19.5" customHeight="1" thickTop="1" x14ac:dyDescent="0.2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9.5" customHeight="1" thickBot="1" x14ac:dyDescent="0.3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25.5" customHeight="1" thickTop="1" thickBot="1" x14ac:dyDescent="0.3">
      <c r="B47" s="75" t="s">
        <v>60</v>
      </c>
      <c r="C47" s="76"/>
      <c r="D47" s="76"/>
      <c r="E47" s="1"/>
      <c r="F47" s="70" t="s">
        <v>61</v>
      </c>
      <c r="G47" s="70"/>
      <c r="H47" s="70"/>
      <c r="I47" s="70"/>
      <c r="J47" s="70"/>
      <c r="K47" s="70"/>
      <c r="L47" s="70"/>
      <c r="M47" s="70"/>
      <c r="N47" s="70"/>
    </row>
    <row r="48" spans="1:14" ht="43.5" customHeight="1" thickTop="1" thickBot="1" x14ac:dyDescent="0.3">
      <c r="B48" s="76"/>
      <c r="C48" s="76"/>
      <c r="D48" s="76"/>
      <c r="F48" s="70"/>
      <c r="G48" s="70"/>
      <c r="H48" s="70"/>
      <c r="I48" s="70"/>
      <c r="J48" s="70"/>
      <c r="K48" s="70"/>
      <c r="L48" s="70"/>
      <c r="M48" s="70"/>
      <c r="N48" s="70"/>
    </row>
    <row r="49" spans="2:4" ht="16.5" thickTop="1" thickBot="1" x14ac:dyDescent="0.3"/>
    <row r="50" spans="2:4" ht="29.25" customHeight="1" thickTop="1" thickBot="1" x14ac:dyDescent="0.3">
      <c r="B50" s="37" t="s">
        <v>2</v>
      </c>
      <c r="C50" s="37" t="s">
        <v>54</v>
      </c>
      <c r="D50" s="35"/>
    </row>
    <row r="51" spans="2:4" ht="16.5" thickTop="1" thickBot="1" x14ac:dyDescent="0.3">
      <c r="B51" s="35"/>
      <c r="C51" s="35"/>
      <c r="D51" s="35"/>
    </row>
    <row r="52" spans="2:4" ht="37.5" customHeight="1" thickTop="1" thickBot="1" x14ac:dyDescent="0.3">
      <c r="B52" s="37" t="s">
        <v>48</v>
      </c>
      <c r="C52" s="37" t="s">
        <v>50</v>
      </c>
      <c r="D52" s="37" t="s">
        <v>51</v>
      </c>
    </row>
    <row r="53" spans="2:4" ht="20.25" thickTop="1" thickBot="1" x14ac:dyDescent="0.3">
      <c r="B53" s="38" t="s">
        <v>30</v>
      </c>
      <c r="C53" s="38">
        <v>55000</v>
      </c>
      <c r="D53" s="38">
        <v>65000</v>
      </c>
    </row>
    <row r="54" spans="2:4" ht="20.25" thickTop="1" thickBot="1" x14ac:dyDescent="0.3">
      <c r="B54" s="38" t="s">
        <v>16</v>
      </c>
      <c r="C54" s="38">
        <v>55000</v>
      </c>
      <c r="D54" s="38">
        <v>65000</v>
      </c>
    </row>
    <row r="55" spans="2:4" ht="20.25" thickTop="1" thickBot="1" x14ac:dyDescent="0.3">
      <c r="B55" s="38" t="s">
        <v>52</v>
      </c>
      <c r="C55" s="38">
        <v>55000</v>
      </c>
      <c r="D55" s="38">
        <v>65000</v>
      </c>
    </row>
    <row r="56" spans="2:4" ht="20.25" thickTop="1" thickBot="1" x14ac:dyDescent="0.3">
      <c r="B56" s="38" t="s">
        <v>25</v>
      </c>
      <c r="C56" s="38">
        <v>85000</v>
      </c>
      <c r="D56" s="38">
        <v>70000</v>
      </c>
    </row>
    <row r="57" spans="2:4" ht="20.25" thickTop="1" thickBot="1" x14ac:dyDescent="0.3">
      <c r="B57" s="38" t="s">
        <v>11</v>
      </c>
      <c r="C57" s="38">
        <v>85000</v>
      </c>
      <c r="D57" s="38">
        <v>70000</v>
      </c>
    </row>
    <row r="58" spans="2:4" ht="20.25" thickTop="1" thickBot="1" x14ac:dyDescent="0.3">
      <c r="B58" s="38" t="s">
        <v>53</v>
      </c>
      <c r="C58" s="38">
        <v>85000</v>
      </c>
      <c r="D58" s="38">
        <v>70000</v>
      </c>
    </row>
    <row r="59" spans="2:4" ht="20.25" thickTop="1" thickBot="1" x14ac:dyDescent="0.3">
      <c r="B59" s="38" t="s">
        <v>34</v>
      </c>
      <c r="C59" s="38">
        <v>88000</v>
      </c>
      <c r="D59" s="38">
        <v>85000</v>
      </c>
    </row>
    <row r="60" spans="2:4" ht="20.25" thickTop="1" thickBot="1" x14ac:dyDescent="0.3">
      <c r="B60" s="38" t="s">
        <v>19</v>
      </c>
      <c r="C60" s="38">
        <v>88000</v>
      </c>
      <c r="D60" s="38">
        <v>85000</v>
      </c>
    </row>
    <row r="61" spans="2:4" ht="20.25" thickTop="1" thickBot="1" x14ac:dyDescent="0.3">
      <c r="B61" s="38" t="s">
        <v>53</v>
      </c>
      <c r="C61" s="38">
        <v>88000</v>
      </c>
      <c r="D61" s="38">
        <v>85000</v>
      </c>
    </row>
    <row r="62" spans="2:4" ht="20.25" thickTop="1" thickBot="1" x14ac:dyDescent="0.3">
      <c r="B62" s="38" t="s">
        <v>29</v>
      </c>
      <c r="C62" s="38">
        <v>78000</v>
      </c>
      <c r="D62" s="38">
        <v>70000</v>
      </c>
    </row>
    <row r="63" spans="2:4" ht="20.25" thickTop="1" thickBot="1" x14ac:dyDescent="0.3">
      <c r="B63" s="38" t="s">
        <v>15</v>
      </c>
      <c r="C63" s="38">
        <v>78000</v>
      </c>
      <c r="D63" s="38">
        <v>70000</v>
      </c>
    </row>
    <row r="64" spans="2:4" ht="20.25" thickTop="1" thickBot="1" x14ac:dyDescent="0.3">
      <c r="B64" s="38" t="s">
        <v>53</v>
      </c>
      <c r="C64" s="38">
        <v>78000</v>
      </c>
      <c r="D64" s="38">
        <v>70000</v>
      </c>
    </row>
    <row r="65" spans="2:14" ht="20.25" thickTop="1" thickBot="1" x14ac:dyDescent="0.3">
      <c r="B65" s="19" t="s">
        <v>49</v>
      </c>
      <c r="C65" s="19">
        <v>306000</v>
      </c>
      <c r="D65" s="19">
        <v>290000</v>
      </c>
    </row>
    <row r="66" spans="2:14" ht="15.75" thickTop="1" x14ac:dyDescent="0.25"/>
    <row r="67" spans="2:14" ht="15.75" thickBot="1" x14ac:dyDescent="0.3"/>
    <row r="68" spans="2:14" x14ac:dyDescent="0.25">
      <c r="J68" s="39" t="s">
        <v>55</v>
      </c>
      <c r="K68" s="40"/>
      <c r="L68" s="40"/>
      <c r="M68" s="40"/>
      <c r="N68" s="41"/>
    </row>
    <row r="69" spans="2:14" ht="39.75" customHeight="1" x14ac:dyDescent="0.25">
      <c r="J69" s="42"/>
      <c r="K69" s="43"/>
      <c r="L69" s="43"/>
      <c r="M69" s="43"/>
      <c r="N69" s="44"/>
    </row>
    <row r="70" spans="2:14" x14ac:dyDescent="0.25">
      <c r="J70" s="42"/>
      <c r="K70" s="43"/>
      <c r="L70" s="43"/>
      <c r="M70" s="43"/>
      <c r="N70" s="44"/>
    </row>
    <row r="71" spans="2:14" ht="15.75" thickBot="1" x14ac:dyDescent="0.3">
      <c r="J71" s="45"/>
      <c r="K71" s="46"/>
      <c r="L71" s="46"/>
      <c r="M71" s="46"/>
      <c r="N71" s="47"/>
    </row>
  </sheetData>
  <mergeCells count="42">
    <mergeCell ref="C1:N1"/>
    <mergeCell ref="C3:N5"/>
    <mergeCell ref="C6:N6"/>
    <mergeCell ref="M7:N8"/>
    <mergeCell ref="C7:D8"/>
    <mergeCell ref="B47:D48"/>
    <mergeCell ref="F47:N48"/>
    <mergeCell ref="E22:L23"/>
    <mergeCell ref="A21:O21"/>
    <mergeCell ref="M22:N23"/>
    <mergeCell ref="C22:D23"/>
    <mergeCell ref="E36:L37"/>
    <mergeCell ref="M35:N37"/>
    <mergeCell ref="A35:D37"/>
    <mergeCell ref="E35:L35"/>
    <mergeCell ref="F29:G29"/>
    <mergeCell ref="I30:J30"/>
    <mergeCell ref="I27:J27"/>
    <mergeCell ref="L26:M26"/>
    <mergeCell ref="L27:M27"/>
    <mergeCell ref="D31:D33"/>
    <mergeCell ref="E7:L8"/>
    <mergeCell ref="L30:M30"/>
    <mergeCell ref="F30:G30"/>
    <mergeCell ref="F26:G26"/>
    <mergeCell ref="F27:G27"/>
    <mergeCell ref="J68:N71"/>
    <mergeCell ref="F33:G33"/>
    <mergeCell ref="I33:J33"/>
    <mergeCell ref="C25:N25"/>
    <mergeCell ref="C26:C34"/>
    <mergeCell ref="D34:N34"/>
    <mergeCell ref="N26:N33"/>
    <mergeCell ref="H26:H33"/>
    <mergeCell ref="K26:K33"/>
    <mergeCell ref="L31:M33"/>
    <mergeCell ref="E26:E33"/>
    <mergeCell ref="I32:J32"/>
    <mergeCell ref="F32:G32"/>
    <mergeCell ref="L29:M29"/>
    <mergeCell ref="I29:J29"/>
    <mergeCell ref="I26:J26"/>
  </mergeCells>
  <conditionalFormatting sqref="C7:D8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{EC3FCB69-6D16-4423-88DF-E5660ABE67C2}</x14:id>
        </ext>
      </extLst>
    </cfRule>
  </conditionalFormatting>
  <conditionalFormatting sqref="I11:I20">
    <cfRule type="dataBar" priority="9">
      <dataBar>
        <cfvo type="min"/>
        <cfvo type="max"/>
        <color theme="0" tint="-0.14999847407452621"/>
      </dataBar>
      <extLst>
        <ext xmlns:x14="http://schemas.microsoft.com/office/spreadsheetml/2009/9/main" uri="{B025F937-C7B1-47D3-B67F-A62EFF666E3E}">
          <x14:id>{40D5C2F2-EDC8-48E7-A7E3-2E3B65DB6D83}</x14:id>
        </ext>
      </extLst>
    </cfRule>
    <cfRule type="dataBar" priority="16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{A97DD404-6F96-4813-8E53-15BBBF71E7D6}</x14:id>
        </ext>
      </extLst>
    </cfRule>
  </conditionalFormatting>
  <conditionalFormatting sqref="L11:L20">
    <cfRule type="dataBar" priority="10">
      <dataBar>
        <cfvo type="min"/>
        <cfvo type="max"/>
        <color theme="0" tint="-0.14999847407452621"/>
      </dataBar>
      <extLst>
        <ext xmlns:x14="http://schemas.microsoft.com/office/spreadsheetml/2009/9/main" uri="{B025F937-C7B1-47D3-B67F-A62EFF666E3E}">
          <x14:id>{05B4883C-6CE3-4863-B05E-0071B2E54C7F}</x14:id>
        </ext>
      </extLst>
    </cfRule>
    <cfRule type="dataBar" priority="14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{22A67DE1-DD95-49A1-B2FE-754237E56E7B}</x14:id>
        </ext>
      </extLst>
    </cfRule>
  </conditionalFormatting>
  <conditionalFormatting sqref="M11:M20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N11:N20">
    <cfRule type="containsText" dxfId="10" priority="11" operator="containsText" text="TARGET ACHIEVED">
      <formula>NOT(ISERROR(SEARCH("TARGET ACHIEVED",N11)))</formula>
    </cfRule>
    <cfRule type="containsText" dxfId="9" priority="12" operator="containsText" text="ACHIEVED TARGET">
      <formula>NOT(ISERROR(SEARCH("ACHIEVED TARGET",N11)))</formula>
    </cfRule>
    <cfRule type="containsText" dxfId="8" priority="13" operator="containsText" text="BELOW TARGET">
      <formula>NOT(ISERROR(SEARCH("BELOW TARGET",N11)))</formula>
    </cfRule>
    <cfRule type="containsText" dxfId="7" priority="17" operator="containsText" text="BELOW TARGET">
      <formula>NOT(ISERROR(SEARCH("BELOW TARGET",N11)))</formula>
    </cfRule>
    <cfRule type="containsText" dxfId="6" priority="18" operator="containsText" text="TARGET ACHIEVED">
      <formula>NOT(ISERROR(SEARCH("TARGET ACHIEVED",N11)))</formula>
    </cfRule>
    <cfRule type="containsText" dxfId="5" priority="19" operator="containsText" text="TARGET ACHIEVED">
      <formula>NOT(ISERROR(SEARCH("TARGET ACHIEVED",N11)))</formula>
    </cfRule>
    <cfRule type="containsText" dxfId="4" priority="20" operator="containsText" text="TARGET ACHIEVED">
      <formula>NOT(ISERROR(SEARCH("TARGET ACHIEVED",N11)))</formula>
    </cfRule>
    <cfRule type="containsText" dxfId="3" priority="21" operator="containsText" text="TARGET ACHIEVED">
      <formula>NOT(ISERROR(SEARCH("TARGET ACHIEVED",N11)))</formula>
    </cfRule>
  </conditionalFormatting>
  <conditionalFormatting sqref="N40:N44">
    <cfRule type="containsText" dxfId="2" priority="1" operator="containsText" text="TARGET ACHIEVED">
      <formula>NOT(ISERROR(SEARCH("TARGET ACHIEVED",N40)))</formula>
    </cfRule>
    <cfRule type="containsText" dxfId="1" priority="2" operator="containsText" text="TARGET ACHIEVED">
      <formula>NOT(ISERROR(SEARCH("TARGET ACHIEVED",N40)))</formula>
    </cfRule>
    <cfRule type="containsText" dxfId="0" priority="3" operator="containsText" text="BELOW TARGET">
      <formula>NOT(ISERROR(SEARCH("BELOW TARGET",N40)))</formula>
    </cfRule>
  </conditionalFormatting>
  <dataValidations count="3">
    <dataValidation type="list" allowBlank="1" showInputMessage="1" showErrorMessage="1" errorTitle="Invalid Department" error="Please select a valid department from the list only." promptTitle="Select Department" prompt="please select a department from the dropdown list." sqref="AA13:AA22" xr:uid="{D0DA77D7-4785-4430-9C16-93B59B82BC67}">
      <formula1>$E$11:$E$20</formula1>
    </dataValidation>
    <dataValidation type="list" allowBlank="1" showInputMessage="1" showErrorMessage="1" errorTitle="st" error="j" promptTitle="s,a" sqref="R10:R17" xr:uid="{B6FEA5E8-7A51-437B-B0CD-9C06A6978624}">
      <formula1>"ayesha"</formula1>
    </dataValidation>
    <dataValidation type="list" allowBlank="1" showInputMessage="1" showErrorMessage="1" errorTitle="Invalid Department" error="please select avalid department from the list only" promptTitle="Select Department" prompt="Please select a department from the dropdown list." sqref="E11:E20" xr:uid="{27255981-E808-42FE-A4A2-D6C567320B4D}">
      <formula1>"Finance ,Marketing, IT ,HR, Sales ,Finance, HR, IT, Marketing, Sales,"</formula1>
    </dataValidation>
  </dataValidations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3FCB69-6D16-4423-88DF-E5660ABE67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C7:D8</xm:sqref>
        </x14:conditionalFormatting>
        <x14:conditionalFormatting xmlns:xm="http://schemas.microsoft.com/office/excel/2006/main">
          <x14:cfRule type="iconSet" priority="7" id="{D763747A-DC7C-4DDA-AF93-C194B6547657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dataBar" id="{40D5C2F2-EDC8-48E7-A7E3-2E3B65DB6D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7DD404-6F96-4813-8E53-15BBBF71E7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I11:I20</xm:sqref>
        </x14:conditionalFormatting>
        <x14:conditionalFormatting xmlns:xm="http://schemas.microsoft.com/office/excel/2006/main">
          <x14:cfRule type="iconSet" priority="5" id="{84F2447D-2D82-4261-9DC7-5316ADFCA3D8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I40:I44</xm:sqref>
        </x14:conditionalFormatting>
        <x14:conditionalFormatting xmlns:xm="http://schemas.microsoft.com/office/excel/2006/main">
          <x14:cfRule type="iconSet" priority="8" id="{1927D35C-2E04-4A78-A5DB-202109359DA0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dataBar" id="{05B4883C-6CE3-4863-B05E-0071B2E54C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A67DE1-DD95-49A1-B2FE-754237E56E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L11:L20</xm:sqref>
        </x14:conditionalFormatting>
        <x14:conditionalFormatting xmlns:xm="http://schemas.microsoft.com/office/excel/2006/main">
          <x14:cfRule type="iconSet" priority="4" id="{FFD891A6-8B49-4F69-95EF-883328933268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L40:L44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 LINK COMPUTER</dc:creator>
  <cp:lastModifiedBy>STAR LINK COMPUTER</cp:lastModifiedBy>
  <dcterms:created xsi:type="dcterms:W3CDTF">2026-06-15T18:12:13Z</dcterms:created>
  <dcterms:modified xsi:type="dcterms:W3CDTF">2026-06-19T11:35:38Z</dcterms:modified>
</cp:coreProperties>
</file>